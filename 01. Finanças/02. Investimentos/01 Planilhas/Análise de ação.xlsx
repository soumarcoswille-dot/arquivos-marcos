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lenovo\Documents\01. MARCOS\01. Finanças\02. Investimentos\01 Planilhas\"/>
    </mc:Choice>
  </mc:AlternateContent>
  <xr:revisionPtr revIDLastSave="0" documentId="13_ncr:1_{C03646B3-2848-4506-898D-CF1B86FF7EA6}" xr6:coauthVersionLast="47" xr6:coauthVersionMax="47" xr10:uidLastSave="{00000000-0000-0000-0000-000000000000}"/>
  <bookViews>
    <workbookView xWindow="-28920" yWindow="-120" windowWidth="29040" windowHeight="15990" tabRatio="846" activeTab="1" xr2:uid="{00000000-000D-0000-FFFF-FFFF00000000}"/>
  </bookViews>
  <sheets>
    <sheet name="1. Indicadores Primários" sheetId="2" r:id="rId1"/>
    <sheet name="Preço Teto Prpjetivo" sheetId="6" r:id="rId2"/>
    <sheet name="2. Fórmula de Graham" sheetId="1" r:id="rId3"/>
    <sheet name="3. Fórmula de Lynch" sheetId="5" r:id="rId4"/>
    <sheet name="3. Fórmula de Bazin" sheetId="3" r:id="rId5"/>
    <sheet name="Planilha3" sheetId="4" r:id="rId6"/>
  </sheets>
  <definedNames>
    <definedName name="_xlnm._FilterDatabase" localSheetId="5" hidden="1">Planilha3!$A$1:$U$45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C3" i="5"/>
  <c r="D16" i="6"/>
  <c r="E16" i="6" s="1"/>
  <c r="D15" i="6"/>
  <c r="E15" i="6" s="1"/>
  <c r="D14" i="6"/>
  <c r="E14" i="6" s="1"/>
  <c r="D10" i="6"/>
  <c r="E10" i="6" s="1"/>
  <c r="J10" i="6" s="1"/>
  <c r="K10" i="6" s="1"/>
  <c r="D11" i="6"/>
  <c r="E11" i="6" s="1"/>
  <c r="D12" i="6"/>
  <c r="E12" i="6" s="1"/>
  <c r="D3" i="6"/>
  <c r="E3" i="6" s="1"/>
  <c r="J3" i="6" s="1"/>
  <c r="K3" i="6" s="1"/>
  <c r="D9" i="6"/>
  <c r="E9" i="6" s="1"/>
  <c r="J9" i="6" s="1"/>
  <c r="K9" i="6" s="1"/>
  <c r="D8" i="6"/>
  <c r="E8" i="6" s="1"/>
  <c r="J8" i="6" s="1"/>
  <c r="K8" i="6" s="1"/>
  <c r="D7" i="6"/>
  <c r="E7" i="6" s="1"/>
  <c r="I7" i="6" s="1"/>
  <c r="D6" i="6"/>
  <c r="E6" i="6" s="1"/>
  <c r="I6" i="6" s="1"/>
  <c r="D5" i="6"/>
  <c r="E5" i="6" s="1"/>
  <c r="I5" i="6" s="1"/>
  <c r="D4" i="6"/>
  <c r="D13" i="6"/>
  <c r="E13" i="6" s="1"/>
  <c r="J13" i="6" s="1"/>
  <c r="K13" i="6" s="1"/>
  <c r="C3" i="3"/>
  <c r="J16" i="6" l="1"/>
  <c r="K16" i="6" s="1"/>
  <c r="I16" i="6"/>
  <c r="J15" i="6"/>
  <c r="K15" i="6" s="1"/>
  <c r="I15" i="6"/>
  <c r="J14" i="6"/>
  <c r="K14" i="6" s="1"/>
  <c r="I14" i="6"/>
  <c r="I10" i="6"/>
  <c r="I11" i="6"/>
  <c r="J11" i="6"/>
  <c r="K11" i="6" s="1"/>
  <c r="I12" i="6"/>
  <c r="J12" i="6"/>
  <c r="K12" i="6" s="1"/>
  <c r="I9" i="6"/>
  <c r="J5" i="6"/>
  <c r="K5" i="6" s="1"/>
  <c r="I8" i="6"/>
  <c r="J6" i="6"/>
  <c r="K6" i="6" s="1"/>
  <c r="J7" i="6"/>
  <c r="K7" i="6" s="1"/>
  <c r="I3" i="6"/>
  <c r="E4" i="6"/>
  <c r="J4" i="6" s="1"/>
  <c r="K4" i="6" s="1"/>
  <c r="I13" i="6"/>
  <c r="V44" i="4"/>
  <c r="V13" i="4"/>
  <c r="V10" i="4"/>
  <c r="V33" i="4"/>
  <c r="V29" i="4"/>
  <c r="V45" i="4"/>
  <c r="V41" i="4"/>
  <c r="V42" i="4"/>
  <c r="V16" i="4"/>
  <c r="V17" i="4"/>
  <c r="V18" i="4"/>
  <c r="V19" i="4"/>
  <c r="V20" i="4"/>
  <c r="V21" i="4"/>
  <c r="V31" i="4"/>
  <c r="V32" i="4"/>
  <c r="V27" i="4"/>
  <c r="V38" i="4"/>
  <c r="V30" i="4"/>
  <c r="V14" i="4"/>
  <c r="V15" i="4"/>
  <c r="V40" i="4"/>
  <c r="V43" i="4"/>
  <c r="V37" i="4"/>
  <c r="V26" i="4"/>
  <c r="V35" i="4"/>
  <c r="V34" i="4"/>
  <c r="V36" i="4"/>
  <c r="V39" i="4"/>
  <c r="V28" i="4"/>
  <c r="V11" i="4"/>
  <c r="V9" i="4"/>
  <c r="V5" i="4"/>
  <c r="V2" i="4"/>
  <c r="V6" i="4"/>
  <c r="V7" i="4"/>
  <c r="V8" i="4"/>
  <c r="V3" i="4"/>
  <c r="V4" i="4"/>
  <c r="V23" i="4"/>
  <c r="V24" i="4"/>
  <c r="V25" i="4"/>
  <c r="V22" i="4"/>
  <c r="V12" i="4"/>
  <c r="I4" i="6" l="1"/>
</calcChain>
</file>

<file path=xl/sharedStrings.xml><?xml version="1.0" encoding="utf-8"?>
<sst xmlns="http://schemas.openxmlformats.org/spreadsheetml/2006/main" count="109" uniqueCount="99">
  <si>
    <t>Valor Intrínseco</t>
  </si>
  <si>
    <t>LPA (Lucro por Ação)</t>
  </si>
  <si>
    <t>"VPA" (Valor Patrimonial por Ação)</t>
  </si>
  <si>
    <t>Valor da Ação</t>
  </si>
  <si>
    <t>Método de Bazin</t>
  </si>
  <si>
    <t>Preço Teto</t>
  </si>
  <si>
    <t>Papel</t>
  </si>
  <si>
    <t>Cotação</t>
  </si>
  <si>
    <t>P/L</t>
  </si>
  <si>
    <t>P/VP</t>
  </si>
  <si>
    <t>PSR</t>
  </si>
  <si>
    <t>Div.Yield</t>
  </si>
  <si>
    <t>P/Ativo</t>
  </si>
  <si>
    <t>P/Cap.Giro</t>
  </si>
  <si>
    <t>P/EBIT</t>
  </si>
  <si>
    <t>P/Ativ Circ.Liq</t>
  </si>
  <si>
    <t>EV/EBIT</t>
  </si>
  <si>
    <t>EV/EBITDA</t>
  </si>
  <si>
    <t>Mrg Ebit</t>
  </si>
  <si>
    <t>Mrg. Líq.</t>
  </si>
  <si>
    <t>Liq. Corr.</t>
  </si>
  <si>
    <t>ROIC</t>
  </si>
  <si>
    <t>ROE</t>
  </si>
  <si>
    <t>Liq.2meses</t>
  </si>
  <si>
    <t>Patrim. Líq</t>
  </si>
  <si>
    <t>Dív.Brut/ Patrim.</t>
  </si>
  <si>
    <t>Cresc. Rec.5a</t>
  </si>
  <si>
    <t>HBTS5</t>
  </si>
  <si>
    <t>SYNE3</t>
  </si>
  <si>
    <t>AHEB3</t>
  </si>
  <si>
    <t>AHEB6</t>
  </si>
  <si>
    <t>BBAS3</t>
  </si>
  <si>
    <t>ISAE4</t>
  </si>
  <si>
    <t>EQMA3B</t>
  </si>
  <si>
    <t>WIZC3</t>
  </si>
  <si>
    <t>LAVV3</t>
  </si>
  <si>
    <t>PETR4</t>
  </si>
  <si>
    <t>EQPA3</t>
  </si>
  <si>
    <t>CAMB3</t>
  </si>
  <si>
    <t>CSMG3</t>
  </si>
  <si>
    <t>ISAE3</t>
  </si>
  <si>
    <t>PLPL3</t>
  </si>
  <si>
    <t>PETR3</t>
  </si>
  <si>
    <t>RSUL4</t>
  </si>
  <si>
    <t>EGIE3</t>
  </si>
  <si>
    <t>MRSA6B</t>
  </si>
  <si>
    <t>CEBR5</t>
  </si>
  <si>
    <t>PRIO3</t>
  </si>
  <si>
    <t>MRSA5B</t>
  </si>
  <si>
    <t>MRSA3B</t>
  </si>
  <si>
    <t>CEBR3</t>
  </si>
  <si>
    <t>SBSP3</t>
  </si>
  <si>
    <t>MILS3</t>
  </si>
  <si>
    <t>CPFE3</t>
  </si>
  <si>
    <t>CEBR6</t>
  </si>
  <si>
    <t>CSUD3</t>
  </si>
  <si>
    <t>CMIN3</t>
  </si>
  <si>
    <t>ARML3</t>
  </si>
  <si>
    <t>TAEE3</t>
  </si>
  <si>
    <t>TAEE11</t>
  </si>
  <si>
    <t>TAEE4</t>
  </si>
  <si>
    <t>EQPA5</t>
  </si>
  <si>
    <t>VALE3</t>
  </si>
  <si>
    <t>REDE3</t>
  </si>
  <si>
    <t>MULT3</t>
  </si>
  <si>
    <t>BBSE3</t>
  </si>
  <si>
    <t>DIRR3</t>
  </si>
  <si>
    <t>CURY3</t>
  </si>
  <si>
    <t>ODPV3</t>
  </si>
  <si>
    <t>B3SA3</t>
  </si>
  <si>
    <t>1 Filtrar as ações por segmento nates de começar a aplicar os filtros</t>
  </si>
  <si>
    <t>Bazin</t>
  </si>
  <si>
    <t>Valor da ação</t>
  </si>
  <si>
    <t>Desejado</t>
  </si>
  <si>
    <t>Fórmula de Graham (Preço teto)</t>
  </si>
  <si>
    <t>Dividendo médio 3 ou 5 anos</t>
  </si>
  <si>
    <t>Fórmula de Lynch</t>
  </si>
  <si>
    <t>LPA</t>
  </si>
  <si>
    <t>Dividend yield</t>
  </si>
  <si>
    <t>LPA Projetivo</t>
  </si>
  <si>
    <t>Ação</t>
  </si>
  <si>
    <t>Cotação atual</t>
  </si>
  <si>
    <t>DY 12M</t>
  </si>
  <si>
    <t>Pay out</t>
  </si>
  <si>
    <t>N de papeis</t>
  </si>
  <si>
    <t>Lucro projetivo</t>
  </si>
  <si>
    <t>Preço teto projetivo</t>
  </si>
  <si>
    <t>DPA (Dividendo por ação)</t>
  </si>
  <si>
    <t>Magic Number</t>
  </si>
  <si>
    <t>bbdc4</t>
  </si>
  <si>
    <t>Itub3</t>
  </si>
  <si>
    <t>itsa4</t>
  </si>
  <si>
    <t>PREÇO TETO PROJETIVO</t>
  </si>
  <si>
    <t>Valor necessário para o magic number</t>
  </si>
  <si>
    <t>taee3</t>
  </si>
  <si>
    <t>Pontuação</t>
  </si>
  <si>
    <t>SCHULZ</t>
  </si>
  <si>
    <t>SAPR11</t>
  </si>
  <si>
    <t>CXSE3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</si>
</sst>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color rgb="FF285968"/>
      <name val="Inherit"/>
    </font>
    <font>
      <u/>
      <sz val="11"/>
      <color theme="10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CF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4AA50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</borders>
  <cellStyleXfs count="4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44" fontId="4" fillId="0" borderId="1" xfId="1" applyFont="1" applyBorder="1" applyAlignment="1">
      <alignment horizontal="center" vertical="center"/>
    </xf>
    <xf numFmtId="0" fontId="7" fillId="4" borderId="3" xfId="3" applyFill="1" applyBorder="1" applyAlignment="1">
      <alignment horizontal="left" vertical="top" wrapText="1"/>
    </xf>
    <xf numFmtId="0" fontId="7" fillId="4" borderId="4" xfId="3" applyFill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10" fontId="6" fillId="4" borderId="4" xfId="0" applyNumberFormat="1" applyFont="1" applyFill="1" applyBorder="1" applyAlignment="1">
      <alignment horizontal="left" vertical="center" wrapText="1"/>
    </xf>
    <xf numFmtId="4" fontId="6" fillId="4" borderId="4" xfId="0" applyNumberFormat="1" applyFont="1" applyFill="1" applyBorder="1" applyAlignment="1">
      <alignment horizontal="left" vertical="center" wrapText="1"/>
    </xf>
    <xf numFmtId="0" fontId="7" fillId="5" borderId="4" xfId="3" applyFill="1" applyBorder="1" applyAlignment="1">
      <alignment horizontal="left" vertical="center" wrapText="1"/>
    </xf>
    <xf numFmtId="0" fontId="6" fillId="5" borderId="4" xfId="0" applyFont="1" applyFill="1" applyBorder="1" applyAlignment="1">
      <alignment horizontal="left" vertical="center" wrapText="1"/>
    </xf>
    <xf numFmtId="10" fontId="6" fillId="5" borderId="4" xfId="0" applyNumberFormat="1" applyFont="1" applyFill="1" applyBorder="1" applyAlignment="1">
      <alignment horizontal="left" vertical="center" wrapText="1"/>
    </xf>
    <xf numFmtId="4" fontId="6" fillId="5" borderId="4" xfId="0" applyNumberFormat="1" applyFont="1" applyFill="1" applyBorder="1" applyAlignment="1">
      <alignment horizontal="left" vertical="center" wrapText="1"/>
    </xf>
    <xf numFmtId="0" fontId="7" fillId="6" borderId="3" xfId="3" applyFill="1" applyBorder="1" applyAlignment="1">
      <alignment horizontal="left" vertical="top" wrapText="1"/>
    </xf>
    <xf numFmtId="10" fontId="6" fillId="6" borderId="4" xfId="0" applyNumberFormat="1" applyFont="1" applyFill="1" applyBorder="1" applyAlignment="1">
      <alignment horizontal="left" vertical="center" wrapText="1"/>
    </xf>
    <xf numFmtId="0" fontId="0" fillId="6" borderId="0" xfId="0" applyFill="1"/>
    <xf numFmtId="44" fontId="0" fillId="0" borderId="0" xfId="1" applyFont="1"/>
    <xf numFmtId="9" fontId="4" fillId="0" borderId="1" xfId="2" applyFont="1" applyBorder="1" applyAlignment="1">
      <alignment horizontal="center" vertical="center"/>
    </xf>
    <xf numFmtId="44" fontId="4" fillId="7" borderId="1" xfId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9" fontId="6" fillId="4" borderId="5" xfId="2" applyFont="1" applyFill="1" applyBorder="1" applyAlignment="1">
      <alignment horizontal="left" vertical="center" wrapText="1"/>
    </xf>
    <xf numFmtId="44" fontId="7" fillId="4" borderId="3" xfId="1" applyFont="1" applyFill="1" applyBorder="1" applyAlignment="1">
      <alignment horizontal="left" vertical="top" wrapText="1"/>
    </xf>
    <xf numFmtId="44" fontId="6" fillId="4" borderId="4" xfId="1" applyFont="1" applyFill="1" applyBorder="1" applyAlignment="1">
      <alignment horizontal="left" vertical="center" wrapText="1"/>
    </xf>
    <xf numFmtId="0" fontId="7" fillId="9" borderId="3" xfId="3" applyFill="1" applyBorder="1" applyAlignment="1">
      <alignment horizontal="left" vertical="top" wrapText="1"/>
    </xf>
    <xf numFmtId="10" fontId="6" fillId="9" borderId="4" xfId="0" applyNumberFormat="1" applyFont="1" applyFill="1" applyBorder="1" applyAlignment="1">
      <alignment horizontal="left" vertical="center" wrapText="1"/>
    </xf>
    <xf numFmtId="0" fontId="0" fillId="9" borderId="0" xfId="0" applyFill="1"/>
    <xf numFmtId="0" fontId="1" fillId="3" borderId="1" xfId="0" applyFont="1" applyFill="1" applyBorder="1" applyAlignment="1">
      <alignment horizontal="center" vertical="center" wrapText="1"/>
    </xf>
    <xf numFmtId="10" fontId="4" fillId="0" borderId="1" xfId="2" applyNumberFormat="1" applyFont="1" applyBorder="1" applyAlignment="1">
      <alignment horizontal="center" vertical="center"/>
    </xf>
    <xf numFmtId="44" fontId="0" fillId="0" borderId="1" xfId="1" applyFont="1" applyBorder="1"/>
    <xf numFmtId="3" fontId="0" fillId="0" borderId="1" xfId="0" applyNumberFormat="1" applyBorder="1"/>
    <xf numFmtId="10" fontId="0" fillId="0" borderId="1" xfId="2" applyNumberFormat="1" applyFont="1" applyBorder="1"/>
    <xf numFmtId="44" fontId="0" fillId="6" borderId="1" xfId="1" applyFont="1" applyFill="1" applyBorder="1"/>
    <xf numFmtId="0" fontId="0" fillId="0" borderId="0" xfId="0" applyAlignment="1">
      <alignment vertical="center" wrapText="1"/>
    </xf>
    <xf numFmtId="0" fontId="1" fillId="11" borderId="1" xfId="0" applyFont="1" applyFill="1" applyBorder="1" applyAlignment="1">
      <alignment horizontal="center" vertical="center" wrapText="1"/>
    </xf>
    <xf numFmtId="1" fontId="0" fillId="12" borderId="1" xfId="1" applyNumberFormat="1" applyFont="1" applyFill="1" applyBorder="1"/>
    <xf numFmtId="44" fontId="9" fillId="11" borderId="1" xfId="1" applyFont="1" applyFill="1" applyBorder="1" applyAlignment="1">
      <alignment horizontal="center" vertical="center" wrapText="1"/>
    </xf>
    <xf numFmtId="44" fontId="0" fillId="12" borderId="1" xfId="1" applyFont="1" applyFill="1" applyBorder="1"/>
    <xf numFmtId="0" fontId="8" fillId="10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0" fillId="13" borderId="1" xfId="0" applyFill="1" applyBorder="1"/>
    <xf numFmtId="44" fontId="0" fillId="13" borderId="1" xfId="1" applyFont="1" applyFill="1" applyBorder="1"/>
    <xf numFmtId="10" fontId="0" fillId="13" borderId="1" xfId="2" applyNumberFormat="1" applyFont="1" applyFill="1" applyBorder="1"/>
    <xf numFmtId="3" fontId="0" fillId="13" borderId="1" xfId="0" applyNumberFormat="1" applyFill="1" applyBorder="1"/>
    <xf numFmtId="0" fontId="0" fillId="13" borderId="0" xfId="0" applyFill="1"/>
    <xf numFmtId="0" fontId="0" fillId="7" borderId="1" xfId="0" applyFill="1" applyBorder="1"/>
    <xf numFmtId="44" fontId="4" fillId="0" borderId="1" xfId="2" applyNumberFormat="1" applyFont="1" applyBorder="1" applyAlignment="1">
      <alignment horizontal="center" vertical="center"/>
    </xf>
    <xf numFmtId="1" fontId="4" fillId="13" borderId="1" xfId="1" applyNumberFormat="1" applyFont="1" applyFill="1" applyBorder="1" applyAlignment="1">
      <alignment horizontal="center" vertical="center"/>
    </xf>
    <xf numFmtId="44" fontId="4" fillId="13" borderId="1" xfId="1" quotePrefix="1" applyFont="1" applyFill="1" applyBorder="1" applyAlignment="1">
      <alignment horizontal="center" vertical="center"/>
    </xf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1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5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9" tint="-0.24994659260841701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-0.24994659260841701"/>
        </patternFill>
      </fill>
    </dxf>
    <dxf>
      <fill>
        <patternFill>
          <bgColor theme="5" tint="-0.24994659260841701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228600</xdr:colOff>
      <xdr:row>2</xdr:row>
      <xdr:rowOff>0</xdr:rowOff>
    </xdr:from>
    <xdr:to>
      <xdr:col>10</xdr:col>
      <xdr:colOff>325202</xdr:colOff>
      <xdr:row>6</xdr:row>
      <xdr:rowOff>19159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AAAE054-560C-3DE0-8EEC-3E01E9B8F0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81000"/>
          <a:ext cx="9688277" cy="78115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139125</xdr:colOff>
      <xdr:row>25</xdr:row>
      <xdr:rowOff>10991</xdr:rowOff>
    </xdr:from>
    <xdr:to>
      <xdr:col>10</xdr:col>
      <xdr:colOff>574209</xdr:colOff>
      <xdr:row>35</xdr:row>
      <xdr:rowOff>49507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116469-BFDA-298C-2D2C-FFDD3F3BE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47260" y="3249491"/>
          <a:ext cx="9227392" cy="19435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3</xdr:row>
      <xdr:rowOff>133350</xdr:rowOff>
    </xdr:from>
    <xdr:to>
      <xdr:col>7</xdr:col>
      <xdr:colOff>39152</xdr:colOff>
      <xdr:row>6</xdr:row>
      <xdr:rowOff>38166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2AC1059-9386-11A3-2634-B8EC41FD96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333500"/>
          <a:ext cx="7535327" cy="47631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3</xdr:row>
      <xdr:rowOff>200025</xdr:rowOff>
    </xdr:from>
    <xdr:to>
      <xdr:col>0</xdr:col>
      <xdr:colOff>1362075</xdr:colOff>
      <xdr:row>6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3B652AAD-1787-3674-E8BD-37F457CDD5FE}"/>
            </a:ext>
          </a:extLst>
        </xdr:cNvPr>
        <xdr:cNvSpPr txBox="1"/>
      </xdr:nvSpPr>
      <xdr:spPr>
        <a:xfrm>
          <a:off x="295275" y="1485900"/>
          <a:ext cx="1066800" cy="771525"/>
        </a:xfrm>
        <a:prstGeom prst="rect">
          <a:avLst/>
        </a:prstGeom>
        <a:solidFill>
          <a:schemeClr val="accent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100"/>
            <a:t>Buscar</a:t>
          </a:r>
          <a:r>
            <a:rPr lang="pt-BR" sz="1100" baseline="0"/>
            <a:t> o projetado no Yahoo finance</a:t>
          </a:r>
          <a:endParaRPr lang="pt-BR" sz="1100"/>
        </a:p>
      </xdr:txBody>
    </xdr:sp>
    <xdr:clientData/>
  </xdr:twoCellAnchor>
  <xdr:twoCellAnchor editAs="oneCell">
    <xdr:from>
      <xdr:col>3</xdr:col>
      <xdr:colOff>657225</xdr:colOff>
      <xdr:row>0</xdr:row>
      <xdr:rowOff>247650</xdr:rowOff>
    </xdr:from>
    <xdr:to>
      <xdr:col>7</xdr:col>
      <xdr:colOff>552874</xdr:colOff>
      <xdr:row>3</xdr:row>
      <xdr:rowOff>47777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A87B6D1-E0BC-27DF-2E72-9D0961073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105525" y="247650"/>
          <a:ext cx="3038899" cy="108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fundamentus.com.br/detalhes.php?papel=TAEE4" TargetMode="External"/><Relationship Id="rId21" Type="http://schemas.openxmlformats.org/officeDocument/2006/relationships/hyperlink" Target="https://fundamentus.com.br/resultado.php" TargetMode="External"/><Relationship Id="rId34" Type="http://schemas.openxmlformats.org/officeDocument/2006/relationships/hyperlink" Target="https://fundamentus.com.br/detalhes.php?papel=ISAE4" TargetMode="External"/><Relationship Id="rId42" Type="http://schemas.openxmlformats.org/officeDocument/2006/relationships/hyperlink" Target="https://fundamentus.com.br/detalhes.php?papel=PETR3" TargetMode="External"/><Relationship Id="rId47" Type="http://schemas.openxmlformats.org/officeDocument/2006/relationships/hyperlink" Target="https://fundamentus.com.br/detalhes.php?papel=MRSA5B" TargetMode="External"/><Relationship Id="rId50" Type="http://schemas.openxmlformats.org/officeDocument/2006/relationships/hyperlink" Target="https://fundamentus.com.br/detalhes.php?papel=SBSP3" TargetMode="External"/><Relationship Id="rId55" Type="http://schemas.openxmlformats.org/officeDocument/2006/relationships/hyperlink" Target="https://fundamentus.com.br/detalhes.php?papel=VALE3" TargetMode="External"/><Relationship Id="rId63" Type="http://schemas.openxmlformats.org/officeDocument/2006/relationships/hyperlink" Target="https://fundamentus.com.br/detalhes.php?papel=EQPA3" TargetMode="External"/><Relationship Id="rId7" Type="http://schemas.openxmlformats.org/officeDocument/2006/relationships/hyperlink" Target="https://fundamentus.com.br/resultado.php" TargetMode="External"/><Relationship Id="rId2" Type="http://schemas.openxmlformats.org/officeDocument/2006/relationships/hyperlink" Target="https://fundamentus.com.br/resultado.php" TargetMode="External"/><Relationship Id="rId16" Type="http://schemas.openxmlformats.org/officeDocument/2006/relationships/hyperlink" Target="https://fundamentus.com.br/resultado.php" TargetMode="External"/><Relationship Id="rId29" Type="http://schemas.openxmlformats.org/officeDocument/2006/relationships/hyperlink" Target="https://fundamentus.com.br/detalhes.php?papel=CEBR6" TargetMode="External"/><Relationship Id="rId11" Type="http://schemas.openxmlformats.org/officeDocument/2006/relationships/hyperlink" Target="https://fundamentus.com.br/resultado.php" TargetMode="External"/><Relationship Id="rId24" Type="http://schemas.openxmlformats.org/officeDocument/2006/relationships/hyperlink" Target="https://fundamentus.com.br/detalhes.php?papel=B3SA3" TargetMode="External"/><Relationship Id="rId32" Type="http://schemas.openxmlformats.org/officeDocument/2006/relationships/hyperlink" Target="https://fundamentus.com.br/detalhes.php?papel=CEBR5" TargetMode="External"/><Relationship Id="rId37" Type="http://schemas.openxmlformats.org/officeDocument/2006/relationships/hyperlink" Target="https://fundamentus.com.br/detalhes.php?papel=WIZC3" TargetMode="External"/><Relationship Id="rId40" Type="http://schemas.openxmlformats.org/officeDocument/2006/relationships/hyperlink" Target="https://fundamentus.com.br/detalhes.php?papel=CAMB3" TargetMode="External"/><Relationship Id="rId45" Type="http://schemas.openxmlformats.org/officeDocument/2006/relationships/hyperlink" Target="https://fundamentus.com.br/detalhes.php?papel=MRSA6B" TargetMode="External"/><Relationship Id="rId53" Type="http://schemas.openxmlformats.org/officeDocument/2006/relationships/hyperlink" Target="https://fundamentus.com.br/detalhes.php?papel=CSUD3" TargetMode="External"/><Relationship Id="rId58" Type="http://schemas.openxmlformats.org/officeDocument/2006/relationships/hyperlink" Target="https://fundamentus.com.br/detalhes.php?papel=CURY3" TargetMode="External"/><Relationship Id="rId5" Type="http://schemas.openxmlformats.org/officeDocument/2006/relationships/hyperlink" Target="https://fundamentus.com.br/resultado.php" TargetMode="External"/><Relationship Id="rId61" Type="http://schemas.openxmlformats.org/officeDocument/2006/relationships/hyperlink" Target="https://fundamentus.com.br/detalhes.php?papel=CMIN3" TargetMode="External"/><Relationship Id="rId19" Type="http://schemas.openxmlformats.org/officeDocument/2006/relationships/hyperlink" Target="https://fundamentus.com.br/resultado.php" TargetMode="External"/><Relationship Id="rId14" Type="http://schemas.openxmlformats.org/officeDocument/2006/relationships/hyperlink" Target="https://fundamentus.com.br/resultado.php" TargetMode="External"/><Relationship Id="rId22" Type="http://schemas.openxmlformats.org/officeDocument/2006/relationships/hyperlink" Target="https://fundamentus.com.br/detalhes.php?papel=SYNE3" TargetMode="External"/><Relationship Id="rId27" Type="http://schemas.openxmlformats.org/officeDocument/2006/relationships/hyperlink" Target="https://fundamentus.com.br/detalhes.php?papel=TAEE11" TargetMode="External"/><Relationship Id="rId30" Type="http://schemas.openxmlformats.org/officeDocument/2006/relationships/hyperlink" Target="https://fundamentus.com.br/detalhes.php?papel=CEBR3" TargetMode="External"/><Relationship Id="rId35" Type="http://schemas.openxmlformats.org/officeDocument/2006/relationships/hyperlink" Target="https://fundamentus.com.br/detalhes.php?papel=HBTS5" TargetMode="External"/><Relationship Id="rId43" Type="http://schemas.openxmlformats.org/officeDocument/2006/relationships/hyperlink" Target="https://fundamentus.com.br/detalhes.php?papel=RSUL4" TargetMode="External"/><Relationship Id="rId48" Type="http://schemas.openxmlformats.org/officeDocument/2006/relationships/hyperlink" Target="https://fundamentus.com.br/detalhes.php?papel=MRSA3B" TargetMode="External"/><Relationship Id="rId56" Type="http://schemas.openxmlformats.org/officeDocument/2006/relationships/hyperlink" Target="https://fundamentus.com.br/detalhes.php?papel=DIRR3" TargetMode="External"/><Relationship Id="rId64" Type="http://schemas.openxmlformats.org/officeDocument/2006/relationships/hyperlink" Target="https://fundamentus.com.br/detalhes.php?papel=AHEB6" TargetMode="External"/><Relationship Id="rId8" Type="http://schemas.openxmlformats.org/officeDocument/2006/relationships/hyperlink" Target="https://fundamentus.com.br/resultado.php" TargetMode="External"/><Relationship Id="rId51" Type="http://schemas.openxmlformats.org/officeDocument/2006/relationships/hyperlink" Target="https://fundamentus.com.br/detalhes.php?papel=MILS3" TargetMode="External"/><Relationship Id="rId3" Type="http://schemas.openxmlformats.org/officeDocument/2006/relationships/hyperlink" Target="https://fundamentus.com.br/resultado.php" TargetMode="External"/><Relationship Id="rId12" Type="http://schemas.openxmlformats.org/officeDocument/2006/relationships/hyperlink" Target="https://fundamentus.com.br/resultado.php" TargetMode="External"/><Relationship Id="rId17" Type="http://schemas.openxmlformats.org/officeDocument/2006/relationships/hyperlink" Target="https://fundamentus.com.br/resultado.php" TargetMode="External"/><Relationship Id="rId25" Type="http://schemas.openxmlformats.org/officeDocument/2006/relationships/hyperlink" Target="https://fundamentus.com.br/detalhes.php?papel=MULT3" TargetMode="External"/><Relationship Id="rId33" Type="http://schemas.openxmlformats.org/officeDocument/2006/relationships/hyperlink" Target="https://fundamentus.com.br/detalhes.php?papel=ISAE3" TargetMode="External"/><Relationship Id="rId38" Type="http://schemas.openxmlformats.org/officeDocument/2006/relationships/hyperlink" Target="https://fundamentus.com.br/detalhes.php?papel=LAVV3" TargetMode="External"/><Relationship Id="rId46" Type="http://schemas.openxmlformats.org/officeDocument/2006/relationships/hyperlink" Target="https://fundamentus.com.br/detalhes.php?papel=MRSA5B" TargetMode="External"/><Relationship Id="rId59" Type="http://schemas.openxmlformats.org/officeDocument/2006/relationships/hyperlink" Target="https://fundamentus.com.br/detalhes.php?papel=REDE3" TargetMode="External"/><Relationship Id="rId20" Type="http://schemas.openxmlformats.org/officeDocument/2006/relationships/hyperlink" Target="https://fundamentus.com.br/resultado.php" TargetMode="External"/><Relationship Id="rId41" Type="http://schemas.openxmlformats.org/officeDocument/2006/relationships/hyperlink" Target="https://fundamentus.com.br/detalhes.php?papel=CSMG3" TargetMode="External"/><Relationship Id="rId54" Type="http://schemas.openxmlformats.org/officeDocument/2006/relationships/hyperlink" Target="https://fundamentus.com.br/detalhes.php?papel=ARML3" TargetMode="External"/><Relationship Id="rId62" Type="http://schemas.openxmlformats.org/officeDocument/2006/relationships/hyperlink" Target="https://fundamentus.com.br/detalhes.php?papel=PLPL3" TargetMode="External"/><Relationship Id="rId1" Type="http://schemas.openxmlformats.org/officeDocument/2006/relationships/hyperlink" Target="https://fundamentus.com.br/resultado.php" TargetMode="External"/><Relationship Id="rId6" Type="http://schemas.openxmlformats.org/officeDocument/2006/relationships/hyperlink" Target="https://fundamentus.com.br/resultado.php" TargetMode="External"/><Relationship Id="rId15" Type="http://schemas.openxmlformats.org/officeDocument/2006/relationships/hyperlink" Target="https://fundamentus.com.br/resultado.php" TargetMode="External"/><Relationship Id="rId23" Type="http://schemas.openxmlformats.org/officeDocument/2006/relationships/hyperlink" Target="https://fundamentus.com.br/detalhes.php?papel=EGIE3" TargetMode="External"/><Relationship Id="rId28" Type="http://schemas.openxmlformats.org/officeDocument/2006/relationships/hyperlink" Target="https://fundamentus.com.br/detalhes.php?papel=TAEE3" TargetMode="External"/><Relationship Id="rId36" Type="http://schemas.openxmlformats.org/officeDocument/2006/relationships/hyperlink" Target="https://fundamentus.com.br/detalhes.php?papel=EQMA3B" TargetMode="External"/><Relationship Id="rId49" Type="http://schemas.openxmlformats.org/officeDocument/2006/relationships/hyperlink" Target="https://fundamentus.com.br/detalhes.php?papel=MRSA3B" TargetMode="External"/><Relationship Id="rId57" Type="http://schemas.openxmlformats.org/officeDocument/2006/relationships/hyperlink" Target="https://fundamentus.com.br/detalhes.php?papel=ODPV3" TargetMode="External"/><Relationship Id="rId10" Type="http://schemas.openxmlformats.org/officeDocument/2006/relationships/hyperlink" Target="https://fundamentus.com.br/resultado.php" TargetMode="External"/><Relationship Id="rId31" Type="http://schemas.openxmlformats.org/officeDocument/2006/relationships/hyperlink" Target="https://fundamentus.com.br/detalhes.php?papel=PRIO3" TargetMode="External"/><Relationship Id="rId44" Type="http://schemas.openxmlformats.org/officeDocument/2006/relationships/hyperlink" Target="https://fundamentus.com.br/detalhes.php?papel=MRSA6B" TargetMode="External"/><Relationship Id="rId52" Type="http://schemas.openxmlformats.org/officeDocument/2006/relationships/hyperlink" Target="https://fundamentus.com.br/detalhes.php?papel=CPFE3" TargetMode="External"/><Relationship Id="rId60" Type="http://schemas.openxmlformats.org/officeDocument/2006/relationships/hyperlink" Target="https://fundamentus.com.br/detalhes.php?papel=EQPA5" TargetMode="External"/><Relationship Id="rId65" Type="http://schemas.openxmlformats.org/officeDocument/2006/relationships/hyperlink" Target="https://fundamentus.com.br/detalhes.php?papel=AHEB3" TargetMode="External"/><Relationship Id="rId4" Type="http://schemas.openxmlformats.org/officeDocument/2006/relationships/hyperlink" Target="https://fundamentus.com.br/resultado.php" TargetMode="External"/><Relationship Id="rId9" Type="http://schemas.openxmlformats.org/officeDocument/2006/relationships/hyperlink" Target="https://fundamentus.com.br/resultado.php" TargetMode="External"/><Relationship Id="rId13" Type="http://schemas.openxmlformats.org/officeDocument/2006/relationships/hyperlink" Target="https://fundamentus.com.br/resultado.php" TargetMode="External"/><Relationship Id="rId18" Type="http://schemas.openxmlformats.org/officeDocument/2006/relationships/hyperlink" Target="https://fundamentus.com.br/resultado.php" TargetMode="External"/><Relationship Id="rId39" Type="http://schemas.openxmlformats.org/officeDocument/2006/relationships/hyperlink" Target="https://fundamentus.com.br/detalhes.php?papel=PETR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43A00-7668-4871-9375-7A1431117469}">
  <dimension ref="A11"/>
  <sheetViews>
    <sheetView workbookViewId="0">
      <selection activeCell="E18" sqref="E18:F18"/>
    </sheetView>
  </sheetViews>
  <sheetFormatPr defaultRowHeight="15"/>
  <cols>
    <col min="1" max="1" width="61.5703125" bestFit="1" customWidth="1"/>
  </cols>
  <sheetData>
    <row r="11" spans="1:1">
      <c r="A11" t="s">
        <v>70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4939E-2478-49BA-AE52-2C3DCCD9AD04}">
  <dimension ref="A1:K16"/>
  <sheetViews>
    <sheetView showGridLines="0" tabSelected="1" topLeftCell="A2" zoomScale="130" zoomScaleNormal="130" workbookViewId="0">
      <selection activeCell="B3" sqref="B3:B16"/>
    </sheetView>
  </sheetViews>
  <sheetFormatPr defaultRowHeight="15"/>
  <cols>
    <col min="1" max="1" width="15.28515625" customWidth="1"/>
    <col min="2" max="2" width="12.85546875" bestFit="1" customWidth="1"/>
    <col min="3" max="3" width="9.28515625" customWidth="1"/>
    <col min="4" max="4" width="11" customWidth="1"/>
    <col min="5" max="5" width="12" customWidth="1"/>
    <col min="6" max="6" width="8.85546875" customWidth="1"/>
    <col min="7" max="7" width="15.5703125" customWidth="1"/>
    <col min="8" max="8" width="15.28515625" customWidth="1"/>
    <col min="9" max="9" width="17.7109375" customWidth="1"/>
    <col min="10" max="10" width="14" bestFit="1" customWidth="1"/>
    <col min="11" max="11" width="13.5703125" style="15" customWidth="1"/>
  </cols>
  <sheetData>
    <row r="1" spans="1:11" ht="21" customHeight="1">
      <c r="A1" s="36" t="s">
        <v>92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s="31" customFormat="1" ht="28.5" customHeight="1">
      <c r="A2" s="32" t="s">
        <v>80</v>
      </c>
      <c r="B2" s="32" t="s">
        <v>81</v>
      </c>
      <c r="C2" s="32" t="s">
        <v>82</v>
      </c>
      <c r="D2" s="32" t="s">
        <v>77</v>
      </c>
      <c r="E2" s="32" t="s">
        <v>87</v>
      </c>
      <c r="F2" s="32" t="s">
        <v>83</v>
      </c>
      <c r="G2" s="32" t="s">
        <v>84</v>
      </c>
      <c r="H2" s="32" t="s">
        <v>85</v>
      </c>
      <c r="I2" s="32" t="s">
        <v>86</v>
      </c>
      <c r="J2" s="32" t="s">
        <v>88</v>
      </c>
      <c r="K2" s="34" t="s">
        <v>93</v>
      </c>
    </row>
    <row r="3" spans="1:11">
      <c r="A3" s="43" t="s">
        <v>31</v>
      </c>
      <c r="B3" s="27">
        <v>28.5</v>
      </c>
      <c r="C3" s="29">
        <v>9.1300000000000006E-2</v>
      </c>
      <c r="D3" s="30">
        <f>H3/G3</f>
        <v>6.9808027923211169</v>
      </c>
      <c r="E3" s="30">
        <f t="shared" ref="E3:E8" si="0">D3*F3</f>
        <v>3.3214659685863874</v>
      </c>
      <c r="F3" s="29">
        <v>0.4758</v>
      </c>
      <c r="G3" s="28">
        <v>5730000000</v>
      </c>
      <c r="H3" s="28">
        <v>40000000000</v>
      </c>
      <c r="I3" s="30">
        <f>E3/0.06</f>
        <v>55.35776614310646</v>
      </c>
      <c r="J3" s="33">
        <f>(E3*100)/B3</f>
        <v>11.654266556443465</v>
      </c>
      <c r="K3" s="35">
        <f>J3*B3</f>
        <v>332.14659685863876</v>
      </c>
    </row>
    <row r="4" spans="1:11" hidden="1">
      <c r="A4" s="38" t="s">
        <v>89</v>
      </c>
      <c r="B4" s="27">
        <v>12.49</v>
      </c>
      <c r="C4" s="29">
        <v>9.06E-2</v>
      </c>
      <c r="D4" s="30">
        <f t="shared" ref="D4:D13" si="1">H4/G4</f>
        <v>2.0672475632319349</v>
      </c>
      <c r="E4" s="30">
        <f t="shared" si="0"/>
        <v>1.3567345757491189</v>
      </c>
      <c r="F4" s="29">
        <v>0.65629999999999999</v>
      </c>
      <c r="G4" s="28">
        <v>10642170000</v>
      </c>
      <c r="H4" s="28">
        <v>22000000000</v>
      </c>
      <c r="I4" s="30">
        <f t="shared" ref="I4:I13" si="2">E4/0.06</f>
        <v>22.612242929151982</v>
      </c>
      <c r="J4" s="33">
        <f>(E4*100)/B4</f>
        <v>10.862566659320407</v>
      </c>
      <c r="K4" s="35">
        <f t="shared" ref="K4:K6" si="3">J4*B4</f>
        <v>135.67345757491188</v>
      </c>
    </row>
    <row r="5" spans="1:11">
      <c r="A5" s="43" t="s">
        <v>91</v>
      </c>
      <c r="B5" s="27">
        <v>9.7200000000000006</v>
      </c>
      <c r="C5" s="29">
        <v>0.10340000000000001</v>
      </c>
      <c r="D5" s="30">
        <f t="shared" ref="D5" si="4">H5/G5</f>
        <v>3.5962744809469376</v>
      </c>
      <c r="E5" s="30">
        <f t="shared" si="0"/>
        <v>2.2782398836798849</v>
      </c>
      <c r="F5" s="29">
        <v>0.63349999999999995</v>
      </c>
      <c r="G5" s="28">
        <v>10844556000</v>
      </c>
      <c r="H5" s="28">
        <v>39000000000</v>
      </c>
      <c r="I5" s="30">
        <f t="shared" si="2"/>
        <v>37.970664727998084</v>
      </c>
      <c r="J5" s="33">
        <f>(E5*100)/B5</f>
        <v>23.438681930863012</v>
      </c>
      <c r="K5" s="35">
        <f t="shared" si="3"/>
        <v>227.82398836798851</v>
      </c>
    </row>
    <row r="6" spans="1:11" hidden="1">
      <c r="A6" s="38" t="s">
        <v>98</v>
      </c>
      <c r="B6" s="27">
        <v>15.69</v>
      </c>
      <c r="C6" s="29">
        <v>8.77E-2</v>
      </c>
      <c r="D6" s="30">
        <f t="shared" ref="D6" si="5">H6/G6</f>
        <v>1.1666666666666667</v>
      </c>
      <c r="E6" s="30">
        <f t="shared" si="0"/>
        <v>0.98</v>
      </c>
      <c r="F6" s="29">
        <v>0.84</v>
      </c>
      <c r="G6" s="28">
        <v>3000000000</v>
      </c>
      <c r="H6" s="28">
        <v>3500000000</v>
      </c>
      <c r="I6" s="30">
        <f t="shared" si="2"/>
        <v>16.333333333333332</v>
      </c>
      <c r="J6" s="33">
        <f>(E6*100)/B6</f>
        <v>6.2460165710643727</v>
      </c>
      <c r="K6" s="35">
        <f t="shared" si="3"/>
        <v>98</v>
      </c>
    </row>
    <row r="7" spans="1:11">
      <c r="A7" s="43" t="s">
        <v>65</v>
      </c>
      <c r="B7" s="27">
        <v>40.229999999999997</v>
      </c>
      <c r="C7" s="29">
        <v>9.0700000000000003E-2</v>
      </c>
      <c r="D7" s="30">
        <f t="shared" ref="D7" si="6">H7/G7</f>
        <v>4</v>
      </c>
      <c r="E7" s="30">
        <f t="shared" si="0"/>
        <v>3.4112</v>
      </c>
      <c r="F7" s="29">
        <v>0.8528</v>
      </c>
      <c r="G7" s="28">
        <v>2000000000</v>
      </c>
      <c r="H7" s="28">
        <v>8000000000</v>
      </c>
      <c r="I7" s="30">
        <f>E7/0.06</f>
        <v>56.853333333333339</v>
      </c>
      <c r="J7" s="33">
        <f t="shared" ref="J7" si="7">(E7*100)/B7</f>
        <v>8.4792443450161574</v>
      </c>
      <c r="K7" s="35">
        <f>J7*B7</f>
        <v>341.12</v>
      </c>
    </row>
    <row r="8" spans="1:11" hidden="1">
      <c r="A8" s="38" t="s">
        <v>94</v>
      </c>
      <c r="B8" s="27">
        <v>10.94</v>
      </c>
      <c r="C8" s="29">
        <v>8.7300000000000003E-2</v>
      </c>
      <c r="D8" s="30">
        <f t="shared" ref="D8" si="8">H8/G8</f>
        <v>1.548143389040693</v>
      </c>
      <c r="E8" s="30">
        <f t="shared" si="0"/>
        <v>1.3933290501366238</v>
      </c>
      <c r="F8" s="29">
        <v>0.9</v>
      </c>
      <c r="G8" s="28">
        <v>1033496000</v>
      </c>
      <c r="H8" s="28">
        <v>1600000000</v>
      </c>
      <c r="I8" s="30">
        <f>E8/0.06</f>
        <v>23.222150835610396</v>
      </c>
      <c r="J8" s="33">
        <f t="shared" ref="J8:J11" si="9">(E8*100)/B8</f>
        <v>12.736097350426178</v>
      </c>
      <c r="K8" s="35">
        <f>J8*B8</f>
        <v>139.33290501366238</v>
      </c>
    </row>
    <row r="9" spans="1:11" hidden="1">
      <c r="A9" s="38" t="s">
        <v>96</v>
      </c>
      <c r="B9" s="27">
        <v>5.8</v>
      </c>
      <c r="C9" s="29">
        <v>8.1100000000000005E-2</v>
      </c>
      <c r="D9" s="30">
        <f t="shared" ref="D9:D11" si="10">H9/G9</f>
        <v>0</v>
      </c>
      <c r="E9" s="30">
        <f t="shared" ref="E9:E11" si="11">D9*F9</f>
        <v>0</v>
      </c>
      <c r="F9" s="29">
        <v>0.2</v>
      </c>
      <c r="G9" s="28">
        <v>357374000</v>
      </c>
      <c r="H9" s="28"/>
      <c r="I9" s="30">
        <f t="shared" ref="I9:I11" si="12">E9/0.06</f>
        <v>0</v>
      </c>
      <c r="J9" s="33">
        <f t="shared" si="9"/>
        <v>0</v>
      </c>
      <c r="K9" s="35">
        <f>J9*B9</f>
        <v>0</v>
      </c>
    </row>
    <row r="10" spans="1:11" s="42" customFormat="1" hidden="1">
      <c r="A10" s="38" t="s">
        <v>97</v>
      </c>
      <c r="B10" s="39">
        <v>28.35</v>
      </c>
      <c r="C10" s="40">
        <v>5.5300000000000002E-2</v>
      </c>
      <c r="D10" s="30">
        <f t="shared" ref="D10" si="13">H10/G10</f>
        <v>0.86024066887020623</v>
      </c>
      <c r="E10" s="30">
        <f t="shared" ref="E10" si="14">D10*F10</f>
        <v>0.24267389268828518</v>
      </c>
      <c r="F10" s="40">
        <v>0.28210000000000002</v>
      </c>
      <c r="G10" s="41">
        <v>1511205000</v>
      </c>
      <c r="H10" s="41">
        <v>1300000000</v>
      </c>
      <c r="I10" s="30">
        <f t="shared" ref="I10" si="15">E10/0.06</f>
        <v>4.0445648781380861</v>
      </c>
      <c r="J10" s="33">
        <f t="shared" ref="J10" si="16">(E10*100)/B10</f>
        <v>0.85599256680171132</v>
      </c>
      <c r="K10" s="33">
        <f>J10*B10</f>
        <v>24.267389268828516</v>
      </c>
    </row>
    <row r="11" spans="1:11">
      <c r="A11" s="43" t="s">
        <v>39</v>
      </c>
      <c r="B11" s="27">
        <v>24</v>
      </c>
      <c r="C11" s="29">
        <v>0.1356</v>
      </c>
      <c r="D11" s="30">
        <f t="shared" si="10"/>
        <v>3.4187764462081827</v>
      </c>
      <c r="E11" s="30">
        <f t="shared" si="11"/>
        <v>2.4273312768078097</v>
      </c>
      <c r="F11" s="29">
        <v>0.71</v>
      </c>
      <c r="G11" s="28">
        <v>380253000</v>
      </c>
      <c r="H11" s="28">
        <v>1300000000</v>
      </c>
      <c r="I11" s="30">
        <f t="shared" si="12"/>
        <v>40.455521280130164</v>
      </c>
      <c r="J11" s="33">
        <f t="shared" si="9"/>
        <v>10.113880320032541</v>
      </c>
      <c r="K11" s="35">
        <f>J11*B11</f>
        <v>242.73312768078097</v>
      </c>
    </row>
    <row r="12" spans="1:11" hidden="1">
      <c r="A12" s="38" t="s">
        <v>62</v>
      </c>
      <c r="B12" s="27">
        <v>57.5</v>
      </c>
      <c r="C12" s="29">
        <v>0.1356</v>
      </c>
      <c r="D12" s="30">
        <f t="shared" ref="D12" si="17">H12/G12</f>
        <v>3.3046875671264662</v>
      </c>
      <c r="E12" s="30">
        <f t="shared" ref="E12" si="18">D12*F12</f>
        <v>2.3727656731968025</v>
      </c>
      <c r="F12" s="29">
        <v>0.71799999999999997</v>
      </c>
      <c r="G12" s="28">
        <v>4539007000</v>
      </c>
      <c r="H12" s="28">
        <v>15000000000</v>
      </c>
      <c r="I12" s="30">
        <f t="shared" ref="I12" si="19">E12/0.06</f>
        <v>39.546094553280042</v>
      </c>
      <c r="J12" s="33">
        <f t="shared" ref="J12" si="20">(E12*100)/B12</f>
        <v>4.1265489968640043</v>
      </c>
      <c r="K12" s="35">
        <f>J12*B12</f>
        <v>237.27656731968025</v>
      </c>
    </row>
    <row r="13" spans="1:11">
      <c r="A13" s="43" t="s">
        <v>90</v>
      </c>
      <c r="B13" s="27">
        <v>28.69</v>
      </c>
      <c r="C13" s="29">
        <v>0.10100000000000001</v>
      </c>
      <c r="D13" s="30">
        <f t="shared" si="1"/>
        <v>4.5899000778753045</v>
      </c>
      <c r="E13" s="30">
        <f t="shared" ref="E13" si="21">D13*F13</f>
        <v>3.1509664034613967</v>
      </c>
      <c r="F13" s="29">
        <v>0.6865</v>
      </c>
      <c r="G13" s="28">
        <v>9804135000</v>
      </c>
      <c r="H13" s="28">
        <v>45000000000</v>
      </c>
      <c r="I13" s="30">
        <f t="shared" si="2"/>
        <v>52.516106724356611</v>
      </c>
      <c r="J13" s="33">
        <f>(E13*100)/B13</f>
        <v>10.982803776442651</v>
      </c>
      <c r="K13" s="35">
        <f>J13*B13</f>
        <v>315.09664034613968</v>
      </c>
    </row>
    <row r="14" spans="1:11" hidden="1">
      <c r="A14" s="38" t="s">
        <v>44</v>
      </c>
      <c r="B14" s="27">
        <v>39.19</v>
      </c>
      <c r="C14" s="29">
        <v>6.9000000000000006E-2</v>
      </c>
      <c r="D14" s="30">
        <f t="shared" ref="D14" si="22">H14/G14</f>
        <v>4.902399356805204</v>
      </c>
      <c r="E14" s="30">
        <f t="shared" ref="E14" si="23">D14*F14</f>
        <v>1.5918090711546498</v>
      </c>
      <c r="F14" s="29">
        <v>0.32469999999999999</v>
      </c>
      <c r="G14" s="28">
        <v>815927000</v>
      </c>
      <c r="H14" s="28">
        <v>4000000000</v>
      </c>
      <c r="I14" s="30">
        <f t="shared" ref="I14" si="24">E14/0.06</f>
        <v>26.530151185910832</v>
      </c>
      <c r="J14" s="33">
        <f>(E14*100)/B14</f>
        <v>4.0617735931478691</v>
      </c>
      <c r="K14" s="35">
        <f>J14*B14</f>
        <v>159.18090711546498</v>
      </c>
    </row>
    <row r="15" spans="1:11" hidden="1">
      <c r="A15" s="38" t="s">
        <v>59</v>
      </c>
      <c r="B15" s="27">
        <v>34.479999999999997</v>
      </c>
      <c r="C15" s="29">
        <v>8.3500000000000005E-2</v>
      </c>
      <c r="D15" s="30">
        <f t="shared" ref="D15" si="25">H15/G15</f>
        <v>1.257866503595563</v>
      </c>
      <c r="E15" s="30">
        <f t="shared" ref="E15" si="26">D15*F15</f>
        <v>0.74566326333144972</v>
      </c>
      <c r="F15" s="29">
        <v>0.59279999999999999</v>
      </c>
      <c r="G15" s="28">
        <v>1033496000</v>
      </c>
      <c r="H15" s="28">
        <v>1300000000</v>
      </c>
      <c r="I15" s="30">
        <f t="shared" ref="I15" si="27">E15/0.06</f>
        <v>12.427721055524163</v>
      </c>
      <c r="J15" s="33">
        <f>(E15*100)/B15</f>
        <v>2.1625964713789148</v>
      </c>
      <c r="K15" s="35">
        <f>J15*B15</f>
        <v>74.566326333144971</v>
      </c>
    </row>
    <row r="16" spans="1:11">
      <c r="A16" s="43" t="s">
        <v>32</v>
      </c>
      <c r="B16" s="27">
        <v>23.28</v>
      </c>
      <c r="C16" s="29">
        <v>0.1027</v>
      </c>
      <c r="D16" s="30">
        <f t="shared" ref="D16" si="28">H16/G16</f>
        <v>5.3120204952927912</v>
      </c>
      <c r="E16" s="30">
        <f t="shared" ref="E16" si="29">D16*F16</f>
        <v>3.53674324576594</v>
      </c>
      <c r="F16" s="29">
        <v>0.66579999999999995</v>
      </c>
      <c r="G16" s="28">
        <v>658883000</v>
      </c>
      <c r="H16" s="28">
        <v>3500000000</v>
      </c>
      <c r="I16" s="30">
        <f t="shared" ref="I16" si="30">E16/0.06</f>
        <v>58.945720762765667</v>
      </c>
      <c r="J16" s="33">
        <f>(E16*100)/B16</f>
        <v>15.192196072877749</v>
      </c>
      <c r="K16" s="35">
        <f>J16*B16</f>
        <v>353.67432457659402</v>
      </c>
    </row>
  </sheetData>
  <mergeCells count="1">
    <mergeCell ref="A1:K1"/>
  </mergeCells>
  <phoneticPr fontId="10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showGridLines="0" workbookViewId="0">
      <selection activeCell="C4" sqref="C4"/>
    </sheetView>
  </sheetViews>
  <sheetFormatPr defaultRowHeight="15"/>
  <cols>
    <col min="1" max="1" width="14.140625" bestFit="1" customWidth="1"/>
    <col min="2" max="2" width="20.140625" customWidth="1"/>
    <col min="3" max="3" width="35" customWidth="1"/>
    <col min="4" max="4" width="16.7109375" bestFit="1" customWidth="1"/>
  </cols>
  <sheetData>
    <row r="1" spans="1:4" ht="33.75">
      <c r="A1" s="37" t="s">
        <v>74</v>
      </c>
      <c r="B1" s="37"/>
      <c r="C1" s="37"/>
      <c r="D1" s="37"/>
    </row>
    <row r="2" spans="1:4" ht="30" customHeight="1">
      <c r="A2" s="1" t="s">
        <v>3</v>
      </c>
      <c r="B2" s="1" t="s">
        <v>1</v>
      </c>
      <c r="C2" s="1" t="s">
        <v>2</v>
      </c>
      <c r="D2" s="1" t="s">
        <v>0</v>
      </c>
    </row>
    <row r="3" spans="1:4" ht="30.75" customHeight="1">
      <c r="A3" s="2">
        <v>23.28</v>
      </c>
      <c r="B3" s="2">
        <v>5.31</v>
      </c>
      <c r="C3" s="2">
        <v>29.92</v>
      </c>
      <c r="D3" s="46">
        <f>SQRT(22.5*B3*C3)</f>
        <v>59.788728034638773</v>
      </c>
    </row>
  </sheetData>
  <mergeCells count="1">
    <mergeCell ref="A1:D1"/>
  </mergeCells>
  <conditionalFormatting sqref="D3">
    <cfRule type="cellIs" dxfId="1" priority="2" operator="lessThan">
      <formula>$A$3</formula>
    </cfRule>
    <cfRule type="cellIs" dxfId="0" priority="1" operator="greaterThan">
      <formula>$A$3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83B5-B30D-467F-A81A-6D99DC2BCDAF}">
  <dimension ref="A1:C5"/>
  <sheetViews>
    <sheetView showGridLines="0" workbookViewId="0">
      <selection activeCell="B6" sqref="B6"/>
    </sheetView>
  </sheetViews>
  <sheetFormatPr defaultRowHeight="15"/>
  <cols>
    <col min="1" max="2" width="25" customWidth="1"/>
    <col min="3" max="3" width="31.7109375" customWidth="1"/>
    <col min="4" max="4" width="19.7109375" customWidth="1"/>
  </cols>
  <sheetData>
    <row r="1" spans="1:3" ht="33.75">
      <c r="A1" s="37" t="s">
        <v>76</v>
      </c>
      <c r="B1" s="37"/>
      <c r="C1" s="37"/>
    </row>
    <row r="2" spans="1:3" ht="29.25" customHeight="1">
      <c r="A2" s="1" t="s">
        <v>79</v>
      </c>
      <c r="B2" s="25" t="s">
        <v>78</v>
      </c>
      <c r="C2" s="1" t="s">
        <v>95</v>
      </c>
    </row>
    <row r="3" spans="1:3" ht="38.25" customHeight="1">
      <c r="A3" s="44">
        <v>5.31</v>
      </c>
      <c r="B3" s="26">
        <v>7.3599999999999999E-2</v>
      </c>
      <c r="C3" s="45">
        <f>A3+B3/B5</f>
        <v>5.326803652968036</v>
      </c>
    </row>
    <row r="4" spans="1:3" ht="22.5" customHeight="1">
      <c r="B4" s="25" t="s">
        <v>8</v>
      </c>
    </row>
    <row r="5" spans="1:3" ht="33" customHeight="1">
      <c r="B5" s="2">
        <v>4.38</v>
      </c>
    </row>
  </sheetData>
  <mergeCells count="1">
    <mergeCell ref="A1:C1"/>
  </mergeCells>
  <conditionalFormatting sqref="C3">
    <cfRule type="cellIs" dxfId="11" priority="4" operator="lessThan">
      <formula>1</formula>
    </cfRule>
    <cfRule type="cellIs" dxfId="12" priority="3" operator="between">
      <formula>1</formula>
      <formula>1.5</formula>
    </cfRule>
    <cfRule type="cellIs" dxfId="13" priority="2" operator="between">
      <formula>1.5</formula>
      <formula>2</formula>
    </cfRule>
    <cfRule type="cellIs" dxfId="10" priority="1" operator="greaterThan">
      <formula>2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7A80B-DD9D-4247-BB9E-F7B0113D2351}">
  <dimension ref="A1:C5"/>
  <sheetViews>
    <sheetView showGridLines="0" workbookViewId="0">
      <selection activeCell="B3" sqref="B3"/>
    </sheetView>
  </sheetViews>
  <sheetFormatPr defaultRowHeight="15"/>
  <cols>
    <col min="1" max="2" width="25" customWidth="1"/>
    <col min="3" max="3" width="31.7109375" customWidth="1"/>
    <col min="4" max="4" width="19.7109375" customWidth="1"/>
  </cols>
  <sheetData>
    <row r="1" spans="1:3" ht="33.75">
      <c r="A1" s="37" t="s">
        <v>4</v>
      </c>
      <c r="B1" s="37"/>
      <c r="C1" s="37"/>
    </row>
    <row r="2" spans="1:3" ht="29.25" customHeight="1">
      <c r="A2" s="1" t="s">
        <v>72</v>
      </c>
      <c r="B2" s="25" t="s">
        <v>75</v>
      </c>
      <c r="C2" s="1" t="s">
        <v>5</v>
      </c>
    </row>
    <row r="3" spans="1:3" ht="38.25" customHeight="1">
      <c r="A3" s="2">
        <v>5.2</v>
      </c>
      <c r="B3" s="26">
        <v>6.3399999999999998E-2</v>
      </c>
      <c r="C3" s="17">
        <f>(B3/B5)*A3</f>
        <v>5.4946666666666664</v>
      </c>
    </row>
    <row r="4" spans="1:3">
      <c r="B4" s="18" t="s">
        <v>73</v>
      </c>
    </row>
    <row r="5" spans="1:3" ht="21">
      <c r="B5" s="16">
        <v>0.06</v>
      </c>
    </row>
  </sheetData>
  <mergeCells count="1">
    <mergeCell ref="A1:C1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668B4-D7E7-4F8A-ACE7-EB51C8076047}">
  <dimension ref="A1:W45"/>
  <sheetViews>
    <sheetView workbookViewId="0">
      <pane ySplit="1" topLeftCell="A17" activePane="bottomLeft" state="frozen"/>
      <selection pane="bottomLeft" activeCell="A45" sqref="A45"/>
    </sheetView>
  </sheetViews>
  <sheetFormatPr defaultRowHeight="15"/>
  <cols>
    <col min="2" max="2" width="9.140625" style="15"/>
    <col min="13" max="13" width="9.140625" style="24"/>
    <col min="17" max="17" width="9.140625" style="14"/>
    <col min="18" max="18" width="13.140625" bestFit="1" customWidth="1"/>
    <col min="19" max="19" width="14.85546875" bestFit="1" customWidth="1"/>
    <col min="22" max="22" width="16.42578125" customWidth="1"/>
  </cols>
  <sheetData>
    <row r="1" spans="1:23" ht="30.75" thickBot="1">
      <c r="A1" s="3" t="s">
        <v>6</v>
      </c>
      <c r="B1" s="20" t="s">
        <v>7</v>
      </c>
      <c r="C1" s="3" t="s">
        <v>8</v>
      </c>
      <c r="D1" s="3" t="s">
        <v>9</v>
      </c>
      <c r="E1" s="3" t="s">
        <v>10</v>
      </c>
      <c r="F1" s="3" t="s">
        <v>11</v>
      </c>
      <c r="G1" s="3" t="s">
        <v>12</v>
      </c>
      <c r="H1" s="3" t="s">
        <v>13</v>
      </c>
      <c r="I1" s="3" t="s">
        <v>14</v>
      </c>
      <c r="J1" s="3" t="s">
        <v>15</v>
      </c>
      <c r="K1" s="3" t="s">
        <v>16</v>
      </c>
      <c r="L1" s="3" t="s">
        <v>17</v>
      </c>
      <c r="M1" s="22" t="s">
        <v>18</v>
      </c>
      <c r="N1" s="3" t="s">
        <v>19</v>
      </c>
      <c r="O1" s="3" t="s">
        <v>20</v>
      </c>
      <c r="P1" s="3" t="s">
        <v>21</v>
      </c>
      <c r="Q1" s="12" t="s">
        <v>22</v>
      </c>
      <c r="R1" s="3" t="s">
        <v>23</v>
      </c>
      <c r="S1" s="3" t="s">
        <v>24</v>
      </c>
      <c r="T1" s="3" t="s">
        <v>25</v>
      </c>
      <c r="U1" s="3" t="s">
        <v>26</v>
      </c>
      <c r="V1" t="s">
        <v>71</v>
      </c>
      <c r="W1" t="s">
        <v>73</v>
      </c>
    </row>
    <row r="2" spans="1:23" ht="15.75" thickBot="1">
      <c r="A2" s="4" t="s">
        <v>64</v>
      </c>
      <c r="B2" s="21">
        <v>22.48</v>
      </c>
      <c r="C2" s="5">
        <v>8.6999999999999993</v>
      </c>
      <c r="D2" s="5">
        <v>2.0699999999999998</v>
      </c>
      <c r="E2" s="5">
        <v>4.5860000000000003</v>
      </c>
      <c r="F2" s="6">
        <v>4.87E-2</v>
      </c>
      <c r="G2" s="5">
        <v>0.93300000000000005</v>
      </c>
      <c r="H2" s="5">
        <v>17.739999999999998</v>
      </c>
      <c r="I2" s="5">
        <v>6.39</v>
      </c>
      <c r="J2" s="5">
        <v>-2.5</v>
      </c>
      <c r="K2" s="5">
        <v>8.7100000000000009</v>
      </c>
      <c r="L2" s="5">
        <v>8.1</v>
      </c>
      <c r="M2" s="23">
        <v>0.7177</v>
      </c>
      <c r="N2" s="6">
        <v>0.52700000000000002</v>
      </c>
      <c r="O2" s="5">
        <v>1.43</v>
      </c>
      <c r="P2" s="6">
        <v>0.1656</v>
      </c>
      <c r="Q2" s="13">
        <v>0.23749999999999999</v>
      </c>
      <c r="R2" s="7">
        <v>108838000</v>
      </c>
      <c r="S2" s="7">
        <v>5645520000</v>
      </c>
      <c r="T2" s="5">
        <v>0.96</v>
      </c>
      <c r="U2" s="6">
        <v>0.24179999999999999</v>
      </c>
      <c r="V2" s="15">
        <f t="shared" ref="V2:V45" si="0">(F2/W2)*B2</f>
        <v>18.246266666666667</v>
      </c>
      <c r="W2" s="19">
        <v>0.06</v>
      </c>
    </row>
    <row r="3" spans="1:23" ht="15.75" thickBot="1">
      <c r="A3" s="8" t="s">
        <v>40</v>
      </c>
      <c r="B3" s="21">
        <v>31.68</v>
      </c>
      <c r="C3" s="9">
        <v>6.31</v>
      </c>
      <c r="D3" s="9">
        <v>1.06</v>
      </c>
      <c r="E3" s="9">
        <v>2.9260000000000002</v>
      </c>
      <c r="F3" s="10">
        <v>4.9700000000000001E-2</v>
      </c>
      <c r="G3" s="9">
        <v>0.51400000000000001</v>
      </c>
      <c r="H3" s="9">
        <v>4.75</v>
      </c>
      <c r="I3" s="9">
        <v>4.7</v>
      </c>
      <c r="J3" s="9">
        <v>-1.51</v>
      </c>
      <c r="K3" s="9">
        <v>6.74</v>
      </c>
      <c r="L3" s="9">
        <v>6.68</v>
      </c>
      <c r="M3" s="23">
        <v>0.62229999999999996</v>
      </c>
      <c r="N3" s="10">
        <v>0.47170000000000001</v>
      </c>
      <c r="O3" s="9">
        <v>2.98</v>
      </c>
      <c r="P3" s="10">
        <v>0.11700000000000001</v>
      </c>
      <c r="Q3" s="13">
        <v>0.16769999999999999</v>
      </c>
      <c r="R3" s="11">
        <v>126711</v>
      </c>
      <c r="S3" s="11">
        <v>19724700000</v>
      </c>
      <c r="T3" s="9">
        <v>0.59</v>
      </c>
      <c r="U3" s="10">
        <v>0.13830000000000001</v>
      </c>
      <c r="V3" s="15">
        <f t="shared" si="0"/>
        <v>26.241600000000002</v>
      </c>
      <c r="W3" s="19">
        <v>0.06</v>
      </c>
    </row>
    <row r="4" spans="1:23" ht="15.75" thickBot="1">
      <c r="A4" s="4" t="s">
        <v>32</v>
      </c>
      <c r="B4" s="21">
        <v>23.45</v>
      </c>
      <c r="C4" s="5">
        <v>4.67</v>
      </c>
      <c r="D4" s="5">
        <v>0.78</v>
      </c>
      <c r="E4" s="5">
        <v>2.1659999999999999</v>
      </c>
      <c r="F4" s="6">
        <v>6.7100000000000007E-2</v>
      </c>
      <c r="G4" s="5">
        <v>0.38</v>
      </c>
      <c r="H4" s="5">
        <v>3.51</v>
      </c>
      <c r="I4" s="5">
        <v>3.48</v>
      </c>
      <c r="J4" s="5">
        <v>-1.1200000000000001</v>
      </c>
      <c r="K4" s="5">
        <v>5.51</v>
      </c>
      <c r="L4" s="5">
        <v>5.47</v>
      </c>
      <c r="M4" s="23">
        <v>0.62229999999999996</v>
      </c>
      <c r="N4" s="6">
        <v>0.47170000000000001</v>
      </c>
      <c r="O4" s="5">
        <v>2.98</v>
      </c>
      <c r="P4" s="6">
        <v>0.11700000000000001</v>
      </c>
      <c r="Q4" s="13">
        <v>0.16769999999999999</v>
      </c>
      <c r="R4" s="7">
        <v>76732300</v>
      </c>
      <c r="S4" s="7">
        <v>19724700000</v>
      </c>
      <c r="T4" s="5">
        <v>0.59</v>
      </c>
      <c r="U4" s="6">
        <v>0.13830000000000001</v>
      </c>
      <c r="V4" s="15">
        <f t="shared" si="0"/>
        <v>26.224916666666669</v>
      </c>
      <c r="W4" s="19">
        <v>0.06</v>
      </c>
    </row>
    <row r="5" spans="1:23" ht="15.75" thickBot="1">
      <c r="A5" s="8" t="s">
        <v>69</v>
      </c>
      <c r="B5" s="21">
        <v>11.29</v>
      </c>
      <c r="C5" s="9">
        <v>13.39</v>
      </c>
      <c r="D5" s="9">
        <v>3.33</v>
      </c>
      <c r="E5" s="9">
        <v>5.7949999999999999</v>
      </c>
      <c r="F5" s="10">
        <v>3.32E-2</v>
      </c>
      <c r="G5" s="9">
        <v>1.355</v>
      </c>
      <c r="H5" s="9">
        <v>10.16</v>
      </c>
      <c r="I5" s="9">
        <v>10.01</v>
      </c>
      <c r="J5" s="9">
        <v>-5.26</v>
      </c>
      <c r="K5" s="9">
        <v>10</v>
      </c>
      <c r="L5" s="9">
        <v>9.15</v>
      </c>
      <c r="M5" s="23">
        <v>0.57869999999999999</v>
      </c>
      <c r="N5" s="10">
        <v>0.43290000000000001</v>
      </c>
      <c r="O5" s="9">
        <v>1.66</v>
      </c>
      <c r="P5" s="10">
        <v>0.19359999999999999</v>
      </c>
      <c r="Q5" s="13">
        <v>0.24909999999999999</v>
      </c>
      <c r="R5" s="11">
        <v>432835000</v>
      </c>
      <c r="S5" s="11">
        <v>18370800000</v>
      </c>
      <c r="T5" s="9">
        <v>0.72</v>
      </c>
      <c r="U5" s="10">
        <v>2.1700000000000001E-2</v>
      </c>
      <c r="V5" s="15">
        <f t="shared" si="0"/>
        <v>6.2471333333333332</v>
      </c>
      <c r="W5" s="19">
        <v>0.06</v>
      </c>
    </row>
    <row r="6" spans="1:23" ht="15.75" thickBot="1">
      <c r="A6" s="8" t="s">
        <v>60</v>
      </c>
      <c r="B6" s="21">
        <v>10.94</v>
      </c>
      <c r="C6" s="9">
        <v>7.89</v>
      </c>
      <c r="D6" s="9">
        <v>1.62</v>
      </c>
      <c r="E6" s="9">
        <v>2.871</v>
      </c>
      <c r="F6" s="10">
        <v>8.7499999999999994E-2</v>
      </c>
      <c r="G6" s="9">
        <v>0.56000000000000005</v>
      </c>
      <c r="H6" s="9">
        <v>12.11</v>
      </c>
      <c r="I6" s="9">
        <v>5.0999999999999996</v>
      </c>
      <c r="J6" s="9">
        <v>-1.1200000000000001</v>
      </c>
      <c r="K6" s="9">
        <v>9.16</v>
      </c>
      <c r="L6" s="9">
        <v>9.08</v>
      </c>
      <c r="M6" s="23">
        <v>0.56279999999999997</v>
      </c>
      <c r="N6" s="10">
        <v>0.3639</v>
      </c>
      <c r="O6" s="9">
        <v>1.42</v>
      </c>
      <c r="P6" s="10">
        <v>0.1166</v>
      </c>
      <c r="Q6" s="13">
        <v>0.2059</v>
      </c>
      <c r="R6" s="11">
        <v>1893820</v>
      </c>
      <c r="S6" s="11">
        <v>6960480000</v>
      </c>
      <c r="T6" s="9">
        <v>1.44</v>
      </c>
      <c r="U6" s="10">
        <v>2.4899999999999999E-2</v>
      </c>
      <c r="V6" s="15">
        <f t="shared" si="0"/>
        <v>15.954166666666666</v>
      </c>
      <c r="W6" s="19">
        <v>0.06</v>
      </c>
    </row>
    <row r="7" spans="1:23" ht="15.75" thickBot="1">
      <c r="A7" s="8" t="s">
        <v>59</v>
      </c>
      <c r="B7" s="21">
        <v>32.659999999999997</v>
      </c>
      <c r="C7" s="9">
        <v>7.85</v>
      </c>
      <c r="D7" s="9">
        <v>1.62</v>
      </c>
      <c r="E7" s="9">
        <v>2.8570000000000002</v>
      </c>
      <c r="F7" s="10">
        <v>8.7900000000000006E-2</v>
      </c>
      <c r="G7" s="9">
        <v>0.55700000000000005</v>
      </c>
      <c r="H7" s="9">
        <v>12.05</v>
      </c>
      <c r="I7" s="9">
        <v>5.08</v>
      </c>
      <c r="J7" s="9">
        <v>-1.1200000000000001</v>
      </c>
      <c r="K7" s="9">
        <v>9.1300000000000008</v>
      </c>
      <c r="L7" s="9">
        <v>9.0500000000000007</v>
      </c>
      <c r="M7" s="23">
        <v>0.56279999999999997</v>
      </c>
      <c r="N7" s="10">
        <v>0.3639</v>
      </c>
      <c r="O7" s="9">
        <v>1.42</v>
      </c>
      <c r="P7" s="10">
        <v>0.1166</v>
      </c>
      <c r="Q7" s="13">
        <v>0.2059</v>
      </c>
      <c r="R7" s="11">
        <v>56764500</v>
      </c>
      <c r="S7" s="11">
        <v>6960480000</v>
      </c>
      <c r="T7" s="9">
        <v>1.44</v>
      </c>
      <c r="U7" s="10">
        <v>2.4899999999999999E-2</v>
      </c>
      <c r="V7" s="15">
        <f t="shared" si="0"/>
        <v>47.846899999999998</v>
      </c>
      <c r="W7" s="19">
        <v>0.06</v>
      </c>
    </row>
    <row r="8" spans="1:23" ht="15.75" thickBot="1">
      <c r="A8" s="4" t="s">
        <v>58</v>
      </c>
      <c r="B8" s="21">
        <v>10.86</v>
      </c>
      <c r="C8" s="5">
        <v>7.83</v>
      </c>
      <c r="D8" s="5">
        <v>1.61</v>
      </c>
      <c r="E8" s="5">
        <v>2.85</v>
      </c>
      <c r="F8" s="6">
        <v>8.8099999999999998E-2</v>
      </c>
      <c r="G8" s="5">
        <v>0.55600000000000005</v>
      </c>
      <c r="H8" s="5">
        <v>12.02</v>
      </c>
      <c r="I8" s="5">
        <v>5.0599999999999996</v>
      </c>
      <c r="J8" s="5">
        <v>-1.1100000000000001</v>
      </c>
      <c r="K8" s="5">
        <v>9.1199999999999992</v>
      </c>
      <c r="L8" s="5">
        <v>9.0399999999999991</v>
      </c>
      <c r="M8" s="23">
        <v>0.56279999999999997</v>
      </c>
      <c r="N8" s="6">
        <v>0.3639</v>
      </c>
      <c r="O8" s="5">
        <v>1.42</v>
      </c>
      <c r="P8" s="6">
        <v>0.1166</v>
      </c>
      <c r="Q8" s="13">
        <v>0.2059</v>
      </c>
      <c r="R8" s="7">
        <v>1026210</v>
      </c>
      <c r="S8" s="7">
        <v>6960480000</v>
      </c>
      <c r="T8" s="5">
        <v>1.44</v>
      </c>
      <c r="U8" s="6">
        <v>2.4899999999999999E-2</v>
      </c>
      <c r="V8" s="15">
        <f t="shared" si="0"/>
        <v>15.946099999999998</v>
      </c>
      <c r="W8" s="19">
        <v>0.06</v>
      </c>
    </row>
    <row r="9" spans="1:23" ht="15.75" thickBot="1">
      <c r="A9" s="4" t="s">
        <v>27</v>
      </c>
      <c r="B9" s="21">
        <v>27.01</v>
      </c>
      <c r="C9" s="5">
        <v>1.37</v>
      </c>
      <c r="D9" s="5">
        <v>0.37</v>
      </c>
      <c r="E9" s="5">
        <v>0.75800000000000001</v>
      </c>
      <c r="F9" s="6">
        <v>0.1125</v>
      </c>
      <c r="G9" s="5">
        <v>0.157</v>
      </c>
      <c r="H9" s="5">
        <v>2.33</v>
      </c>
      <c r="I9" s="5">
        <v>1.46</v>
      </c>
      <c r="J9" s="5">
        <v>-0.36</v>
      </c>
      <c r="K9" s="5">
        <v>2.82</v>
      </c>
      <c r="L9" s="5">
        <v>2.8</v>
      </c>
      <c r="M9" s="23">
        <v>0.51949999999999996</v>
      </c>
      <c r="N9" s="6">
        <v>0.55249999999999999</v>
      </c>
      <c r="O9" s="5">
        <v>2.09</v>
      </c>
      <c r="P9" s="6">
        <v>0.1096</v>
      </c>
      <c r="Q9" s="13">
        <v>0.26690000000000003</v>
      </c>
      <c r="R9" s="7">
        <v>3200.65</v>
      </c>
      <c r="S9" s="7">
        <v>673759000</v>
      </c>
      <c r="T9" s="5">
        <v>0.38</v>
      </c>
      <c r="U9" s="6">
        <v>0.19420000000000001</v>
      </c>
      <c r="V9" s="15">
        <f t="shared" si="0"/>
        <v>50.643750000000011</v>
      </c>
      <c r="W9" s="19">
        <v>0.06</v>
      </c>
    </row>
    <row r="10" spans="1:23" ht="15.75" thickBot="1">
      <c r="A10" s="8" t="s">
        <v>34</v>
      </c>
      <c r="B10" s="21">
        <v>5.99</v>
      </c>
      <c r="C10" s="9">
        <v>5.33</v>
      </c>
      <c r="D10" s="9">
        <v>1.6</v>
      </c>
      <c r="E10" s="9">
        <v>0.75900000000000001</v>
      </c>
      <c r="F10" s="10">
        <v>4.1099999999999998E-2</v>
      </c>
      <c r="G10" s="9">
        <v>0.38300000000000001</v>
      </c>
      <c r="H10" s="9">
        <v>-6.15</v>
      </c>
      <c r="I10" s="9">
        <v>1.49</v>
      </c>
      <c r="J10" s="9">
        <v>-1.35</v>
      </c>
      <c r="K10" s="9">
        <v>1.63</v>
      </c>
      <c r="L10" s="9">
        <v>1.36</v>
      </c>
      <c r="M10" s="23">
        <v>0.50819999999999999</v>
      </c>
      <c r="N10" s="10">
        <v>0.2455</v>
      </c>
      <c r="O10" s="9">
        <v>0.77</v>
      </c>
      <c r="P10" s="10">
        <v>0.31369999999999998</v>
      </c>
      <c r="Q10" s="13">
        <v>0.2999</v>
      </c>
      <c r="R10" s="11">
        <v>2472440</v>
      </c>
      <c r="S10" s="11">
        <v>599193000</v>
      </c>
      <c r="T10" s="9">
        <v>0.56999999999999995</v>
      </c>
      <c r="U10" s="10">
        <v>0.13020000000000001</v>
      </c>
      <c r="V10" s="15">
        <f t="shared" si="0"/>
        <v>4.1031499999999994</v>
      </c>
      <c r="W10" s="19">
        <v>0.06</v>
      </c>
    </row>
    <row r="11" spans="1:23" ht="15.75" thickBot="1">
      <c r="A11" s="8" t="s">
        <v>47</v>
      </c>
      <c r="B11" s="21">
        <v>38.53</v>
      </c>
      <c r="C11" s="9">
        <v>7.05</v>
      </c>
      <c r="D11" s="9">
        <v>1.9</v>
      </c>
      <c r="E11" s="9">
        <v>2.448</v>
      </c>
      <c r="F11" s="10">
        <v>0</v>
      </c>
      <c r="G11" s="9">
        <v>0.79800000000000004</v>
      </c>
      <c r="H11" s="9">
        <v>2.5</v>
      </c>
      <c r="I11" s="9">
        <v>4.82</v>
      </c>
      <c r="J11" s="9">
        <v>-4.3899999999999997</v>
      </c>
      <c r="K11" s="9">
        <v>5.9</v>
      </c>
      <c r="L11" s="9">
        <v>4.49</v>
      </c>
      <c r="M11" s="23">
        <v>0.50749999999999995</v>
      </c>
      <c r="N11" s="10">
        <v>0.34739999999999999</v>
      </c>
      <c r="O11" s="9">
        <v>5.01</v>
      </c>
      <c r="P11" s="10">
        <v>0.2351</v>
      </c>
      <c r="Q11" s="13">
        <v>0.26939999999999997</v>
      </c>
      <c r="R11" s="11">
        <v>349308000</v>
      </c>
      <c r="S11" s="11">
        <v>18191400000</v>
      </c>
      <c r="T11" s="9">
        <v>1.07</v>
      </c>
      <c r="U11" s="10">
        <v>0.72309999999999997</v>
      </c>
      <c r="V11" s="15">
        <f t="shared" si="0"/>
        <v>0</v>
      </c>
      <c r="W11" s="19">
        <v>0.06</v>
      </c>
    </row>
    <row r="12" spans="1:23" ht="15.75" thickBot="1">
      <c r="A12" s="4" t="s">
        <v>44</v>
      </c>
      <c r="B12" s="21">
        <v>36.520000000000003</v>
      </c>
      <c r="C12" s="5">
        <v>6.96</v>
      </c>
      <c r="D12" s="5">
        <v>2.64</v>
      </c>
      <c r="E12" s="5">
        <v>2.6560000000000001</v>
      </c>
      <c r="F12" s="6">
        <v>7.3099999999999998E-2</v>
      </c>
      <c r="G12" s="5">
        <v>0.59499999999999997</v>
      </c>
      <c r="H12" s="5">
        <v>-399.24</v>
      </c>
      <c r="I12" s="5">
        <v>5.32</v>
      </c>
      <c r="J12" s="5">
        <v>-0.97</v>
      </c>
      <c r="K12" s="5">
        <v>8.84</v>
      </c>
      <c r="L12" s="5">
        <v>7.42</v>
      </c>
      <c r="M12" s="23">
        <v>0.499</v>
      </c>
      <c r="N12" s="6">
        <v>0.38350000000000001</v>
      </c>
      <c r="O12" s="5">
        <v>0.99</v>
      </c>
      <c r="P12" s="6">
        <v>0.12429999999999999</v>
      </c>
      <c r="Q12" s="13">
        <v>0.37980000000000003</v>
      </c>
      <c r="R12" s="7">
        <v>51155500</v>
      </c>
      <c r="S12" s="7">
        <v>11266700000</v>
      </c>
      <c r="T12" s="5">
        <v>2.1</v>
      </c>
      <c r="U12" s="6">
        <v>-3.2599999999999997E-2</v>
      </c>
      <c r="V12" s="15">
        <f t="shared" si="0"/>
        <v>44.493533333333332</v>
      </c>
      <c r="W12" s="19">
        <v>0.06</v>
      </c>
    </row>
    <row r="13" spans="1:23" ht="15.75" thickBot="1">
      <c r="A13" s="8" t="s">
        <v>51</v>
      </c>
      <c r="B13" s="21">
        <v>98.64</v>
      </c>
      <c r="C13" s="9">
        <v>7.23</v>
      </c>
      <c r="D13" s="9">
        <v>1.78</v>
      </c>
      <c r="E13" s="9">
        <v>1.895</v>
      </c>
      <c r="F13" s="10">
        <v>1.46E-2</v>
      </c>
      <c r="G13" s="9">
        <v>0.88600000000000001</v>
      </c>
      <c r="H13" s="9">
        <v>67.680000000000007</v>
      </c>
      <c r="I13" s="9">
        <v>4.1900000000000004</v>
      </c>
      <c r="J13" s="9">
        <v>-2.2400000000000002</v>
      </c>
      <c r="K13" s="9">
        <v>5.45</v>
      </c>
      <c r="L13" s="9">
        <v>4.62</v>
      </c>
      <c r="M13" s="23">
        <v>0.45190000000000002</v>
      </c>
      <c r="N13" s="10">
        <v>0.26229999999999998</v>
      </c>
      <c r="O13" s="9">
        <v>1.1399999999999999</v>
      </c>
      <c r="P13" s="10">
        <v>0.22270000000000001</v>
      </c>
      <c r="Q13" s="13">
        <v>0.24610000000000001</v>
      </c>
      <c r="R13" s="11">
        <v>270600000</v>
      </c>
      <c r="S13" s="11">
        <v>37909000000</v>
      </c>
      <c r="T13" s="9">
        <v>0.63</v>
      </c>
      <c r="U13" s="10">
        <v>0.1774</v>
      </c>
      <c r="V13" s="15">
        <f t="shared" si="0"/>
        <v>24.002400000000002</v>
      </c>
      <c r="W13" s="19">
        <v>0.06</v>
      </c>
    </row>
    <row r="14" spans="1:23" ht="15.75" thickBot="1">
      <c r="A14" s="4" t="s">
        <v>42</v>
      </c>
      <c r="B14" s="21">
        <v>42.5</v>
      </c>
      <c r="C14" s="5">
        <v>6.47</v>
      </c>
      <c r="D14" s="5">
        <v>1.39</v>
      </c>
      <c r="E14" s="5">
        <v>1.087</v>
      </c>
      <c r="F14" s="6">
        <v>0.1875</v>
      </c>
      <c r="G14" s="5">
        <v>0.50800000000000001</v>
      </c>
      <c r="H14" s="5">
        <v>-47.38</v>
      </c>
      <c r="I14" s="5">
        <v>2.44</v>
      </c>
      <c r="J14" s="5">
        <v>-1.06</v>
      </c>
      <c r="K14" s="5">
        <v>3.52</v>
      </c>
      <c r="L14" s="5">
        <v>2.69</v>
      </c>
      <c r="M14" s="23">
        <v>0.44640000000000002</v>
      </c>
      <c r="N14" s="6">
        <v>0.16900000000000001</v>
      </c>
      <c r="O14" s="5">
        <v>0.94</v>
      </c>
      <c r="P14" s="6">
        <v>0.2316</v>
      </c>
      <c r="Q14" s="13">
        <v>0.21510000000000001</v>
      </c>
      <c r="R14" s="7">
        <v>327593000</v>
      </c>
      <c r="S14" s="7">
        <v>393655000000</v>
      </c>
      <c r="T14" s="5">
        <v>0.82</v>
      </c>
      <c r="U14" s="6">
        <v>0.16880000000000001</v>
      </c>
      <c r="V14" s="15">
        <f t="shared" si="0"/>
        <v>132.8125</v>
      </c>
      <c r="W14" s="19">
        <v>0.06</v>
      </c>
    </row>
    <row r="15" spans="1:23" ht="15.75" thickBot="1">
      <c r="A15" s="4" t="s">
        <v>36</v>
      </c>
      <c r="B15" s="21">
        <v>38.5</v>
      </c>
      <c r="C15" s="5">
        <v>5.86</v>
      </c>
      <c r="D15" s="5">
        <v>1.26</v>
      </c>
      <c r="E15" s="5">
        <v>0.98499999999999999</v>
      </c>
      <c r="F15" s="6">
        <v>0.20699999999999999</v>
      </c>
      <c r="G15" s="5">
        <v>0.46</v>
      </c>
      <c r="H15" s="5">
        <v>-42.92</v>
      </c>
      <c r="I15" s="5">
        <v>2.21</v>
      </c>
      <c r="J15" s="5">
        <v>-0.96</v>
      </c>
      <c r="K15" s="5">
        <v>3.29</v>
      </c>
      <c r="L15" s="5">
        <v>2.5099999999999998</v>
      </c>
      <c r="M15" s="23">
        <v>0.44640000000000002</v>
      </c>
      <c r="N15" s="6">
        <v>0.16900000000000001</v>
      </c>
      <c r="O15" s="5">
        <v>0.94</v>
      </c>
      <c r="P15" s="6">
        <v>0.2316</v>
      </c>
      <c r="Q15" s="13">
        <v>0.21510000000000001</v>
      </c>
      <c r="R15" s="7">
        <v>993997000</v>
      </c>
      <c r="S15" s="7">
        <v>393655000000</v>
      </c>
      <c r="T15" s="5">
        <v>0.82</v>
      </c>
      <c r="U15" s="6">
        <v>0.16880000000000001</v>
      </c>
      <c r="V15" s="15">
        <f t="shared" si="0"/>
        <v>132.82499999999999</v>
      </c>
      <c r="W15" s="19">
        <v>0.06</v>
      </c>
    </row>
    <row r="16" spans="1:23" ht="15.75" thickBot="1">
      <c r="A16" s="4" t="s">
        <v>48</v>
      </c>
      <c r="B16" s="21">
        <v>29.9</v>
      </c>
      <c r="C16" s="5">
        <v>7.1</v>
      </c>
      <c r="D16" s="5">
        <v>1.34</v>
      </c>
      <c r="E16" s="5">
        <v>1.403</v>
      </c>
      <c r="F16" s="6">
        <v>2.9700000000000001E-2</v>
      </c>
      <c r="G16" s="5">
        <v>0.56000000000000005</v>
      </c>
      <c r="H16" s="5">
        <v>13.9</v>
      </c>
      <c r="I16" s="5">
        <v>3.74</v>
      </c>
      <c r="J16" s="5">
        <v>-1.42</v>
      </c>
      <c r="K16" s="5">
        <v>5.13</v>
      </c>
      <c r="L16" s="5">
        <v>3.77</v>
      </c>
      <c r="M16" s="23">
        <v>0.37540000000000001</v>
      </c>
      <c r="N16" s="6">
        <v>0.19769999999999999</v>
      </c>
      <c r="O16" s="5">
        <v>1.27</v>
      </c>
      <c r="P16" s="6">
        <v>0.17849999999999999</v>
      </c>
      <c r="Q16" s="13">
        <v>0.1895</v>
      </c>
      <c r="R16" s="5">
        <v>224.25</v>
      </c>
      <c r="S16" s="7">
        <v>7515520000</v>
      </c>
      <c r="T16" s="5">
        <v>0.8</v>
      </c>
      <c r="U16" s="6">
        <v>0.2087</v>
      </c>
      <c r="V16" s="15">
        <f t="shared" si="0"/>
        <v>14.800500000000001</v>
      </c>
      <c r="W16" s="19">
        <v>0.06</v>
      </c>
    </row>
    <row r="17" spans="1:23" ht="15.75" thickBot="1">
      <c r="A17" s="8" t="s">
        <v>48</v>
      </c>
      <c r="B17" s="21">
        <v>29.9</v>
      </c>
      <c r="C17" s="9">
        <v>7.1</v>
      </c>
      <c r="D17" s="9">
        <v>1.34</v>
      </c>
      <c r="E17" s="9">
        <v>1.403</v>
      </c>
      <c r="F17" s="10">
        <v>2.9700000000000001E-2</v>
      </c>
      <c r="G17" s="9">
        <v>0.56000000000000005</v>
      </c>
      <c r="H17" s="9">
        <v>13.9</v>
      </c>
      <c r="I17" s="9">
        <v>3.74</v>
      </c>
      <c r="J17" s="9">
        <v>-1.42</v>
      </c>
      <c r="K17" s="9">
        <v>5.13</v>
      </c>
      <c r="L17" s="9">
        <v>3.77</v>
      </c>
      <c r="M17" s="23">
        <v>0.37540000000000001</v>
      </c>
      <c r="N17" s="10">
        <v>0.19769999999999999</v>
      </c>
      <c r="O17" s="9">
        <v>1.27</v>
      </c>
      <c r="P17" s="10">
        <v>0.17849999999999999</v>
      </c>
      <c r="Q17" s="13">
        <v>0.1895</v>
      </c>
      <c r="R17" s="9">
        <v>224.25</v>
      </c>
      <c r="S17" s="11">
        <v>7515520000</v>
      </c>
      <c r="T17" s="9">
        <v>0.8</v>
      </c>
      <c r="U17" s="10">
        <v>0.2087</v>
      </c>
      <c r="V17" s="15">
        <f t="shared" si="0"/>
        <v>14.800500000000001</v>
      </c>
      <c r="W17" s="19">
        <v>0.06</v>
      </c>
    </row>
    <row r="18" spans="1:23" ht="15.75" thickBot="1">
      <c r="A18" s="4" t="s">
        <v>49</v>
      </c>
      <c r="B18" s="21">
        <v>29.91</v>
      </c>
      <c r="C18" s="5">
        <v>7.1</v>
      </c>
      <c r="D18" s="5">
        <v>1.35</v>
      </c>
      <c r="E18" s="5">
        <v>1.403</v>
      </c>
      <c r="F18" s="6">
        <v>0</v>
      </c>
      <c r="G18" s="5">
        <v>0.56000000000000005</v>
      </c>
      <c r="H18" s="5">
        <v>13.9</v>
      </c>
      <c r="I18" s="5">
        <v>3.74</v>
      </c>
      <c r="J18" s="5">
        <v>-1.42</v>
      </c>
      <c r="K18" s="5">
        <v>5.13</v>
      </c>
      <c r="L18" s="5">
        <v>3.77</v>
      </c>
      <c r="M18" s="23">
        <v>0.37540000000000001</v>
      </c>
      <c r="N18" s="6">
        <v>0.19769999999999999</v>
      </c>
      <c r="O18" s="5">
        <v>1.27</v>
      </c>
      <c r="P18" s="6">
        <v>0.17849999999999999</v>
      </c>
      <c r="Q18" s="13">
        <v>0.1895</v>
      </c>
      <c r="R18" s="7">
        <v>2198.0700000000002</v>
      </c>
      <c r="S18" s="7">
        <v>7515520000</v>
      </c>
      <c r="T18" s="5">
        <v>0.8</v>
      </c>
      <c r="U18" s="6">
        <v>0.2087</v>
      </c>
      <c r="V18" s="15">
        <f t="shared" si="0"/>
        <v>0</v>
      </c>
      <c r="W18" s="19">
        <v>0.06</v>
      </c>
    </row>
    <row r="19" spans="1:23" ht="15.75" thickBot="1">
      <c r="A19" s="8" t="s">
        <v>49</v>
      </c>
      <c r="B19" s="21">
        <v>29.91</v>
      </c>
      <c r="C19" s="9">
        <v>7.1</v>
      </c>
      <c r="D19" s="9">
        <v>1.35</v>
      </c>
      <c r="E19" s="9">
        <v>1.403</v>
      </c>
      <c r="F19" s="10">
        <v>0</v>
      </c>
      <c r="G19" s="9">
        <v>0.56000000000000005</v>
      </c>
      <c r="H19" s="9">
        <v>13.9</v>
      </c>
      <c r="I19" s="9">
        <v>3.74</v>
      </c>
      <c r="J19" s="9">
        <v>-1.42</v>
      </c>
      <c r="K19" s="9">
        <v>5.13</v>
      </c>
      <c r="L19" s="9">
        <v>3.77</v>
      </c>
      <c r="M19" s="23">
        <v>0.37540000000000001</v>
      </c>
      <c r="N19" s="10">
        <v>0.19769999999999999</v>
      </c>
      <c r="O19" s="9">
        <v>1.27</v>
      </c>
      <c r="P19" s="10">
        <v>0.17849999999999999</v>
      </c>
      <c r="Q19" s="13">
        <v>0.1895</v>
      </c>
      <c r="R19" s="11">
        <v>2198.0700000000002</v>
      </c>
      <c r="S19" s="11">
        <v>7515520000</v>
      </c>
      <c r="T19" s="9">
        <v>0.8</v>
      </c>
      <c r="U19" s="10">
        <v>0.2087</v>
      </c>
      <c r="V19" s="15">
        <f t="shared" si="0"/>
        <v>0</v>
      </c>
      <c r="W19" s="19">
        <v>0.06</v>
      </c>
    </row>
    <row r="20" spans="1:23" ht="15.75" thickBot="1">
      <c r="A20" s="8" t="s">
        <v>45</v>
      </c>
      <c r="B20" s="21">
        <v>29.5</v>
      </c>
      <c r="C20" s="9">
        <v>7</v>
      </c>
      <c r="D20" s="9">
        <v>1.33</v>
      </c>
      <c r="E20" s="9">
        <v>1.3839999999999999</v>
      </c>
      <c r="F20" s="10">
        <v>3.0099999999999998E-2</v>
      </c>
      <c r="G20" s="9">
        <v>0.55300000000000005</v>
      </c>
      <c r="H20" s="9">
        <v>13.71</v>
      </c>
      <c r="I20" s="9">
        <v>3.69</v>
      </c>
      <c r="J20" s="9">
        <v>-1.4</v>
      </c>
      <c r="K20" s="9">
        <v>5.08</v>
      </c>
      <c r="L20" s="9">
        <v>3.73</v>
      </c>
      <c r="M20" s="23">
        <v>0.37540000000000001</v>
      </c>
      <c r="N20" s="10">
        <v>0.19769999999999999</v>
      </c>
      <c r="O20" s="9">
        <v>1.27</v>
      </c>
      <c r="P20" s="10">
        <v>0.17849999999999999</v>
      </c>
      <c r="Q20" s="13">
        <v>0.1895</v>
      </c>
      <c r="R20" s="9">
        <v>440</v>
      </c>
      <c r="S20" s="11">
        <v>7515520000</v>
      </c>
      <c r="T20" s="9">
        <v>0.8</v>
      </c>
      <c r="U20" s="10">
        <v>0.2087</v>
      </c>
      <c r="V20" s="15">
        <f t="shared" si="0"/>
        <v>14.799166666666668</v>
      </c>
      <c r="W20" s="19">
        <v>0.06</v>
      </c>
    </row>
    <row r="21" spans="1:23" ht="15.75" thickBot="1">
      <c r="A21" s="4" t="s">
        <v>45</v>
      </c>
      <c r="B21" s="21">
        <v>29.5</v>
      </c>
      <c r="C21" s="5">
        <v>7</v>
      </c>
      <c r="D21" s="5">
        <v>1.33</v>
      </c>
      <c r="E21" s="5">
        <v>1.3839999999999999</v>
      </c>
      <c r="F21" s="6">
        <v>3.0099999999999998E-2</v>
      </c>
      <c r="G21" s="5">
        <v>0.55300000000000005</v>
      </c>
      <c r="H21" s="5">
        <v>13.71</v>
      </c>
      <c r="I21" s="5">
        <v>3.69</v>
      </c>
      <c r="J21" s="5">
        <v>-1.4</v>
      </c>
      <c r="K21" s="5">
        <v>5.08</v>
      </c>
      <c r="L21" s="5">
        <v>3.73</v>
      </c>
      <c r="M21" s="23">
        <v>0.37540000000000001</v>
      </c>
      <c r="N21" s="6">
        <v>0.19769999999999999</v>
      </c>
      <c r="O21" s="5">
        <v>1.27</v>
      </c>
      <c r="P21" s="6">
        <v>0.17849999999999999</v>
      </c>
      <c r="Q21" s="13">
        <v>0.1895</v>
      </c>
      <c r="R21" s="5">
        <v>440</v>
      </c>
      <c r="S21" s="7">
        <v>7515520000</v>
      </c>
      <c r="T21" s="5">
        <v>0.8</v>
      </c>
      <c r="U21" s="6">
        <v>0.2087</v>
      </c>
      <c r="V21" s="15">
        <f t="shared" si="0"/>
        <v>14.799166666666668</v>
      </c>
      <c r="W21" s="19">
        <v>0.06</v>
      </c>
    </row>
    <row r="22" spans="1:23" ht="15.75" thickBot="1">
      <c r="A22" s="8" t="s">
        <v>28</v>
      </c>
      <c r="B22" s="21">
        <v>4.7</v>
      </c>
      <c r="C22" s="9">
        <v>1.46</v>
      </c>
      <c r="D22" s="9">
        <v>0.46</v>
      </c>
      <c r="E22" s="9">
        <v>0.51400000000000001</v>
      </c>
      <c r="F22" s="10">
        <v>1.3938999999999999</v>
      </c>
      <c r="G22" s="9">
        <v>0.189</v>
      </c>
      <c r="H22" s="9">
        <v>0.67</v>
      </c>
      <c r="I22" s="9">
        <v>1.38</v>
      </c>
      <c r="J22" s="9">
        <v>-5.2</v>
      </c>
      <c r="K22" s="9">
        <v>1.7</v>
      </c>
      <c r="L22" s="9">
        <v>1.47</v>
      </c>
      <c r="M22" s="23">
        <v>0.37240000000000001</v>
      </c>
      <c r="N22" s="10">
        <v>0.44919999999999999</v>
      </c>
      <c r="O22" s="9">
        <v>11.34</v>
      </c>
      <c r="P22" s="10">
        <v>0.16739999999999999</v>
      </c>
      <c r="Q22" s="13">
        <v>0.3125</v>
      </c>
      <c r="R22" s="11">
        <v>4230540</v>
      </c>
      <c r="S22" s="11">
        <v>1573570000</v>
      </c>
      <c r="T22" s="9">
        <v>0.54</v>
      </c>
      <c r="U22" s="10">
        <v>0.21709999999999999</v>
      </c>
      <c r="V22" s="15">
        <f t="shared" si="0"/>
        <v>109.18883333333333</v>
      </c>
      <c r="W22" s="19">
        <v>0.06</v>
      </c>
    </row>
    <row r="23" spans="1:23" ht="15.75" thickBot="1">
      <c r="A23" s="8" t="s">
        <v>54</v>
      </c>
      <c r="B23" s="21">
        <v>17.670000000000002</v>
      </c>
      <c r="C23" s="9">
        <v>7.39</v>
      </c>
      <c r="D23" s="9">
        <v>1.18</v>
      </c>
      <c r="E23" s="9">
        <v>3.6480000000000001</v>
      </c>
      <c r="F23" s="10">
        <v>9.7199999999999995E-2</v>
      </c>
      <c r="G23" s="9">
        <v>0.86299999999999999</v>
      </c>
      <c r="H23" s="9">
        <v>1.89</v>
      </c>
      <c r="I23" s="9">
        <v>10.16</v>
      </c>
      <c r="J23" s="9">
        <v>2.0499999999999998</v>
      </c>
      <c r="K23" s="9">
        <v>4.76</v>
      </c>
      <c r="L23" s="9">
        <v>4.4800000000000004</v>
      </c>
      <c r="M23" s="23">
        <v>0.35909999999999997</v>
      </c>
      <c r="N23" s="10">
        <v>0.63770000000000004</v>
      </c>
      <c r="O23" s="9">
        <v>7.93</v>
      </c>
      <c r="P23" s="10">
        <v>0.1595</v>
      </c>
      <c r="Q23" s="13">
        <v>0.16020000000000001</v>
      </c>
      <c r="R23" s="11">
        <v>149639</v>
      </c>
      <c r="S23" s="11">
        <v>1075360000</v>
      </c>
      <c r="T23" s="9">
        <v>0</v>
      </c>
      <c r="U23" s="10">
        <v>-0.20960000000000001</v>
      </c>
      <c r="V23" s="15">
        <f t="shared" si="0"/>
        <v>28.625399999999999</v>
      </c>
      <c r="W23" s="19">
        <v>0.06</v>
      </c>
    </row>
    <row r="24" spans="1:23" ht="15.75" thickBot="1">
      <c r="A24" s="4" t="s">
        <v>50</v>
      </c>
      <c r="B24" s="21">
        <v>17.170000000000002</v>
      </c>
      <c r="C24" s="5">
        <v>7.19</v>
      </c>
      <c r="D24" s="5">
        <v>1.1499999999999999</v>
      </c>
      <c r="E24" s="5">
        <v>3.5449999999999999</v>
      </c>
      <c r="F24" s="6">
        <v>9.0899999999999995E-2</v>
      </c>
      <c r="G24" s="5">
        <v>0.83899999999999997</v>
      </c>
      <c r="H24" s="5">
        <v>1.84</v>
      </c>
      <c r="I24" s="5">
        <v>9.8699999999999992</v>
      </c>
      <c r="J24" s="5">
        <v>2</v>
      </c>
      <c r="K24" s="5">
        <v>4.4800000000000004</v>
      </c>
      <c r="L24" s="5">
        <v>4.21</v>
      </c>
      <c r="M24" s="23">
        <v>0.35909999999999997</v>
      </c>
      <c r="N24" s="6">
        <v>0.63770000000000004</v>
      </c>
      <c r="O24" s="5">
        <v>7.93</v>
      </c>
      <c r="P24" s="6">
        <v>0.1595</v>
      </c>
      <c r="Q24" s="13">
        <v>0.16020000000000001</v>
      </c>
      <c r="R24" s="7">
        <v>35773.199999999997</v>
      </c>
      <c r="S24" s="7">
        <v>1075360000</v>
      </c>
      <c r="T24" s="5">
        <v>0</v>
      </c>
      <c r="U24" s="6">
        <v>-0.20960000000000001</v>
      </c>
      <c r="V24" s="15">
        <f t="shared" si="0"/>
        <v>26.012550000000001</v>
      </c>
      <c r="W24" s="19">
        <v>0.06</v>
      </c>
    </row>
    <row r="25" spans="1:23" ht="15.75" thickBot="1">
      <c r="A25" s="4" t="s">
        <v>46</v>
      </c>
      <c r="B25" s="21">
        <v>16.79</v>
      </c>
      <c r="C25" s="5">
        <v>7.03</v>
      </c>
      <c r="D25" s="5">
        <v>1.1299999999999999</v>
      </c>
      <c r="E25" s="5">
        <v>3.4660000000000002</v>
      </c>
      <c r="F25" s="6">
        <v>9.2999999999999999E-2</v>
      </c>
      <c r="G25" s="5">
        <v>0.82</v>
      </c>
      <c r="H25" s="5">
        <v>1.79</v>
      </c>
      <c r="I25" s="5">
        <v>9.65</v>
      </c>
      <c r="J25" s="5">
        <v>1.95</v>
      </c>
      <c r="K25" s="5">
        <v>4.26</v>
      </c>
      <c r="L25" s="5">
        <v>4</v>
      </c>
      <c r="M25" s="23">
        <v>0.35909999999999997</v>
      </c>
      <c r="N25" s="6">
        <v>0.63770000000000004</v>
      </c>
      <c r="O25" s="5">
        <v>7.93</v>
      </c>
      <c r="P25" s="6">
        <v>0.1595</v>
      </c>
      <c r="Q25" s="13">
        <v>0.16020000000000001</v>
      </c>
      <c r="R25" s="7">
        <v>59187.6</v>
      </c>
      <c r="S25" s="7">
        <v>1075360000</v>
      </c>
      <c r="T25" s="5">
        <v>0</v>
      </c>
      <c r="U25" s="6">
        <v>-0.20960000000000001</v>
      </c>
      <c r="V25" s="15">
        <f t="shared" si="0"/>
        <v>26.0245</v>
      </c>
      <c r="W25" s="19">
        <v>0.06</v>
      </c>
    </row>
    <row r="26" spans="1:23" ht="15.75" thickBot="1">
      <c r="A26" s="4" t="s">
        <v>62</v>
      </c>
      <c r="B26" s="21">
        <v>57.74</v>
      </c>
      <c r="C26" s="5">
        <v>8.3000000000000007</v>
      </c>
      <c r="D26" s="5">
        <v>1.27</v>
      </c>
      <c r="E26" s="5">
        <v>1.272</v>
      </c>
      <c r="F26" s="6">
        <v>9.2700000000000005E-2</v>
      </c>
      <c r="G26" s="5">
        <v>0.52800000000000002</v>
      </c>
      <c r="H26" s="5">
        <v>108.25</v>
      </c>
      <c r="I26" s="5">
        <v>3.68</v>
      </c>
      <c r="J26" s="5">
        <v>-1.32</v>
      </c>
      <c r="K26" s="5">
        <v>4.59</v>
      </c>
      <c r="L26" s="5">
        <v>3.72</v>
      </c>
      <c r="M26" s="23">
        <v>0.34610000000000002</v>
      </c>
      <c r="N26" s="6">
        <v>0.1477</v>
      </c>
      <c r="O26" s="5">
        <v>1.03</v>
      </c>
      <c r="P26" s="6">
        <v>0.16239999999999999</v>
      </c>
      <c r="Q26" s="13">
        <v>0.15279999999999999</v>
      </c>
      <c r="R26" s="7">
        <v>1680980000</v>
      </c>
      <c r="S26" s="7">
        <v>206772000000</v>
      </c>
      <c r="T26" s="5">
        <v>0.46</v>
      </c>
      <c r="U26" s="6">
        <v>-3.6200000000000003E-2</v>
      </c>
      <c r="V26" s="15">
        <f t="shared" si="0"/>
        <v>89.208300000000008</v>
      </c>
      <c r="W26" s="19">
        <v>0.06</v>
      </c>
    </row>
    <row r="27" spans="1:23" ht="15.75" thickBot="1">
      <c r="A27" s="4" t="s">
        <v>52</v>
      </c>
      <c r="B27" s="21">
        <v>9.1</v>
      </c>
      <c r="C27" s="5">
        <v>7.34</v>
      </c>
      <c r="D27" s="5">
        <v>1.46</v>
      </c>
      <c r="E27" s="5">
        <v>1.411</v>
      </c>
      <c r="F27" s="6">
        <v>7.1099999999999997E-2</v>
      </c>
      <c r="G27" s="5">
        <v>0.59399999999999997</v>
      </c>
      <c r="H27" s="5">
        <v>3.12</v>
      </c>
      <c r="I27" s="5">
        <v>4.1100000000000003</v>
      </c>
      <c r="J27" s="5">
        <v>-2.5299999999999998</v>
      </c>
      <c r="K27" s="5">
        <v>5.99</v>
      </c>
      <c r="L27" s="5">
        <v>4.17</v>
      </c>
      <c r="M27" s="23">
        <v>0.34370000000000001</v>
      </c>
      <c r="N27" s="6">
        <v>0.19239999999999999</v>
      </c>
      <c r="O27" s="5">
        <v>2.15</v>
      </c>
      <c r="P27" s="6">
        <v>0.18970000000000001</v>
      </c>
      <c r="Q27" s="13">
        <v>0.1983</v>
      </c>
      <c r="R27" s="7">
        <v>5730570</v>
      </c>
      <c r="S27" s="7">
        <v>1463110000</v>
      </c>
      <c r="T27" s="5">
        <v>1.1299999999999999</v>
      </c>
      <c r="U27" s="6">
        <v>0.29060000000000002</v>
      </c>
      <c r="V27" s="15">
        <f t="shared" si="0"/>
        <v>10.7835</v>
      </c>
      <c r="W27" s="19">
        <v>0.06</v>
      </c>
    </row>
    <row r="28" spans="1:23" ht="15.75" thickBot="1">
      <c r="A28" s="4" t="s">
        <v>57</v>
      </c>
      <c r="B28" s="21">
        <v>4.55</v>
      </c>
      <c r="C28" s="5">
        <v>7.65</v>
      </c>
      <c r="D28" s="5">
        <v>1.27</v>
      </c>
      <c r="E28" s="5">
        <v>0.93200000000000005</v>
      </c>
      <c r="F28" s="6">
        <v>6.9800000000000001E-2</v>
      </c>
      <c r="G28" s="5">
        <v>0.309</v>
      </c>
      <c r="H28" s="5">
        <v>2.04</v>
      </c>
      <c r="I28" s="5">
        <v>2.88</v>
      </c>
      <c r="J28" s="5">
        <v>-0.78</v>
      </c>
      <c r="K28" s="5">
        <v>6.11</v>
      </c>
      <c r="L28" s="5">
        <v>4.6399999999999997</v>
      </c>
      <c r="M28" s="23">
        <v>0.32379999999999998</v>
      </c>
      <c r="N28" s="6">
        <v>0.12189999999999999</v>
      </c>
      <c r="O28" s="5">
        <v>1.76</v>
      </c>
      <c r="P28" s="6">
        <v>0.15609999999999999</v>
      </c>
      <c r="Q28" s="13">
        <v>0.16650000000000001</v>
      </c>
      <c r="R28" s="7">
        <v>4784310</v>
      </c>
      <c r="S28" s="7">
        <v>1238590000</v>
      </c>
      <c r="T28" s="5">
        <v>2.34</v>
      </c>
      <c r="U28" s="6">
        <v>1.3310999999999999</v>
      </c>
      <c r="V28" s="15">
        <f t="shared" si="0"/>
        <v>5.2931666666666661</v>
      </c>
      <c r="W28" s="19">
        <v>0.06</v>
      </c>
    </row>
    <row r="29" spans="1:23" ht="15.75" thickBot="1">
      <c r="A29" s="4" t="s">
        <v>56</v>
      </c>
      <c r="B29" s="21">
        <v>5.36</v>
      </c>
      <c r="C29" s="5">
        <v>7.6</v>
      </c>
      <c r="D29" s="5">
        <v>3.29</v>
      </c>
      <c r="E29" s="5">
        <v>1.7110000000000001</v>
      </c>
      <c r="F29" s="6">
        <v>0.14510000000000001</v>
      </c>
      <c r="G29" s="5">
        <v>0.85299999999999998</v>
      </c>
      <c r="H29" s="5">
        <v>4.04</v>
      </c>
      <c r="I29" s="5">
        <v>5.34</v>
      </c>
      <c r="J29" s="5">
        <v>-3.3</v>
      </c>
      <c r="K29" s="5">
        <v>4.3</v>
      </c>
      <c r="L29" s="5">
        <v>3.56</v>
      </c>
      <c r="M29" s="23">
        <v>0.32040000000000002</v>
      </c>
      <c r="N29" s="6">
        <v>0.2253</v>
      </c>
      <c r="O29" s="5">
        <v>1.78</v>
      </c>
      <c r="P29" s="6">
        <v>0.30620000000000003</v>
      </c>
      <c r="Q29" s="13">
        <v>0.43269999999999997</v>
      </c>
      <c r="R29" s="7">
        <v>38386800</v>
      </c>
      <c r="S29" s="7">
        <v>8945330000</v>
      </c>
      <c r="T29" s="5">
        <v>0.98</v>
      </c>
      <c r="U29" s="6">
        <v>-2.5999999999999999E-2</v>
      </c>
      <c r="V29" s="15">
        <f t="shared" si="0"/>
        <v>12.962266666666668</v>
      </c>
      <c r="W29" s="19">
        <v>0.06</v>
      </c>
    </row>
    <row r="30" spans="1:23" ht="15.75" thickBot="1">
      <c r="A30" s="8" t="s">
        <v>39</v>
      </c>
      <c r="B30" s="21">
        <v>23.04</v>
      </c>
      <c r="C30" s="9">
        <v>6.26</v>
      </c>
      <c r="D30" s="9">
        <v>1.1100000000000001</v>
      </c>
      <c r="E30" s="9">
        <v>1.1140000000000001</v>
      </c>
      <c r="F30" s="10">
        <v>0.1203</v>
      </c>
      <c r="G30" s="9">
        <v>0.56999999999999995</v>
      </c>
      <c r="H30" s="9">
        <v>7.93</v>
      </c>
      <c r="I30" s="9">
        <v>3.91</v>
      </c>
      <c r="J30" s="9">
        <v>-1.79</v>
      </c>
      <c r="K30" s="9">
        <v>6.17</v>
      </c>
      <c r="L30" s="9">
        <v>4.5599999999999996</v>
      </c>
      <c r="M30" s="23">
        <v>0.28499999999999998</v>
      </c>
      <c r="N30" s="10">
        <v>0.17799999999999999</v>
      </c>
      <c r="O30" s="9">
        <v>1.73</v>
      </c>
      <c r="P30" s="10">
        <v>0.161</v>
      </c>
      <c r="Q30" s="13">
        <v>0.17799999999999999</v>
      </c>
      <c r="R30" s="11">
        <v>37501600</v>
      </c>
      <c r="S30" s="11">
        <v>7866590000</v>
      </c>
      <c r="T30" s="9">
        <v>0.78</v>
      </c>
      <c r="U30" s="10">
        <v>0.10299999999999999</v>
      </c>
      <c r="V30" s="15">
        <f t="shared" si="0"/>
        <v>46.195200000000007</v>
      </c>
      <c r="W30" s="19">
        <v>0.06</v>
      </c>
    </row>
    <row r="31" spans="1:23" ht="15.75" thickBot="1">
      <c r="A31" s="8" t="s">
        <v>61</v>
      </c>
      <c r="B31" s="21">
        <v>7.6</v>
      </c>
      <c r="C31" s="9">
        <v>8.09</v>
      </c>
      <c r="D31" s="9">
        <v>3.45</v>
      </c>
      <c r="E31" s="9">
        <v>1.5640000000000001</v>
      </c>
      <c r="F31" s="10">
        <v>9.9900000000000003E-2</v>
      </c>
      <c r="G31" s="9">
        <v>0.98099999999999998</v>
      </c>
      <c r="H31" s="9">
        <v>8.64</v>
      </c>
      <c r="I31" s="9">
        <v>5.61</v>
      </c>
      <c r="J31" s="9">
        <v>-2.88</v>
      </c>
      <c r="K31" s="9">
        <v>6.53</v>
      </c>
      <c r="L31" s="9">
        <v>5.73</v>
      </c>
      <c r="M31" s="23">
        <v>0.27879999999999999</v>
      </c>
      <c r="N31" s="10">
        <v>0.1933</v>
      </c>
      <c r="O31" s="9">
        <v>1.43</v>
      </c>
      <c r="P31" s="10">
        <v>0.2341</v>
      </c>
      <c r="Q31" s="13">
        <v>0.42670000000000002</v>
      </c>
      <c r="R31" s="11">
        <v>1235</v>
      </c>
      <c r="S31" s="11">
        <v>4861470000</v>
      </c>
      <c r="T31" s="9">
        <v>1.21</v>
      </c>
      <c r="U31" s="10">
        <v>0.17</v>
      </c>
      <c r="V31" s="15">
        <f t="shared" si="0"/>
        <v>12.654</v>
      </c>
      <c r="W31" s="19">
        <v>0.06</v>
      </c>
    </row>
    <row r="32" spans="1:23" ht="15.75" thickBot="1">
      <c r="A32" s="8" t="s">
        <v>37</v>
      </c>
      <c r="B32" s="21">
        <v>5.52</v>
      </c>
      <c r="C32" s="9">
        <v>5.88</v>
      </c>
      <c r="D32" s="9">
        <v>2.5099999999999998</v>
      </c>
      <c r="E32" s="9">
        <v>1.1359999999999999</v>
      </c>
      <c r="F32" s="10">
        <v>0.13750000000000001</v>
      </c>
      <c r="G32" s="9">
        <v>0.71199999999999997</v>
      </c>
      <c r="H32" s="9">
        <v>6.28</v>
      </c>
      <c r="I32" s="9">
        <v>4.08</v>
      </c>
      <c r="J32" s="9">
        <v>-2.09</v>
      </c>
      <c r="K32" s="9">
        <v>5</v>
      </c>
      <c r="L32" s="9">
        <v>4.38</v>
      </c>
      <c r="M32" s="23">
        <v>0.27879999999999999</v>
      </c>
      <c r="N32" s="10">
        <v>0.1933</v>
      </c>
      <c r="O32" s="9">
        <v>1.43</v>
      </c>
      <c r="P32" s="10">
        <v>0.2341</v>
      </c>
      <c r="Q32" s="13">
        <v>0.42670000000000002</v>
      </c>
      <c r="R32" s="11">
        <v>52766.8</v>
      </c>
      <c r="S32" s="11">
        <v>4861470000</v>
      </c>
      <c r="T32" s="9">
        <v>1.21</v>
      </c>
      <c r="U32" s="10">
        <v>0.17</v>
      </c>
      <c r="V32" s="15">
        <f t="shared" si="0"/>
        <v>12.65</v>
      </c>
      <c r="W32" s="19">
        <v>0.06</v>
      </c>
    </row>
    <row r="33" spans="1:23" ht="15.75" thickBot="1">
      <c r="A33" s="4" t="s">
        <v>68</v>
      </c>
      <c r="B33" s="21">
        <v>11.9</v>
      </c>
      <c r="C33" s="5">
        <v>12.19</v>
      </c>
      <c r="D33" s="5">
        <v>5.14</v>
      </c>
      <c r="E33" s="5">
        <v>2.9820000000000002</v>
      </c>
      <c r="F33" s="6">
        <v>0.1216</v>
      </c>
      <c r="G33" s="5">
        <v>2.8479999999999999</v>
      </c>
      <c r="H33" s="5">
        <v>-34.950000000000003</v>
      </c>
      <c r="I33" s="5">
        <v>10.93</v>
      </c>
      <c r="J33" s="5">
        <v>-20.93</v>
      </c>
      <c r="K33" s="5">
        <v>9.92</v>
      </c>
      <c r="L33" s="5">
        <v>9.15</v>
      </c>
      <c r="M33" s="23">
        <v>0.2727</v>
      </c>
      <c r="N33" s="6">
        <v>0.2445</v>
      </c>
      <c r="O33" s="5">
        <v>0.79</v>
      </c>
      <c r="P33" s="6">
        <v>0.36570000000000003</v>
      </c>
      <c r="Q33" s="13">
        <v>0.42170000000000002</v>
      </c>
      <c r="R33" s="7">
        <v>10277600</v>
      </c>
      <c r="S33" s="7">
        <v>1278650000</v>
      </c>
      <c r="T33" s="5">
        <v>0</v>
      </c>
      <c r="U33" s="6">
        <v>5.9900000000000002E-2</v>
      </c>
      <c r="V33" s="15">
        <f t="shared" si="0"/>
        <v>24.117333333333335</v>
      </c>
      <c r="W33" s="19">
        <v>0.06</v>
      </c>
    </row>
    <row r="34" spans="1:23" ht="15.75" thickBot="1">
      <c r="A34" s="4" t="s">
        <v>53</v>
      </c>
      <c r="B34" s="21">
        <v>35.200000000000003</v>
      </c>
      <c r="C34" s="5">
        <v>7.39</v>
      </c>
      <c r="D34" s="5">
        <v>1.99</v>
      </c>
      <c r="E34" s="5">
        <v>0.98399999999999999</v>
      </c>
      <c r="F34" s="6">
        <v>7.8200000000000006E-2</v>
      </c>
      <c r="G34" s="5">
        <v>0.53700000000000003</v>
      </c>
      <c r="H34" s="5">
        <v>25.17</v>
      </c>
      <c r="I34" s="5">
        <v>3.62</v>
      </c>
      <c r="J34" s="5">
        <v>-1.08</v>
      </c>
      <c r="K34" s="5">
        <v>5.83</v>
      </c>
      <c r="L34" s="5">
        <v>4.96</v>
      </c>
      <c r="M34" s="23">
        <v>0.27160000000000001</v>
      </c>
      <c r="N34" s="6">
        <v>0.1338</v>
      </c>
      <c r="O34" s="5">
        <v>1.1100000000000001</v>
      </c>
      <c r="P34" s="6">
        <v>0.16520000000000001</v>
      </c>
      <c r="Q34" s="13">
        <v>0.26869999999999999</v>
      </c>
      <c r="R34" s="7">
        <v>58967200</v>
      </c>
      <c r="S34" s="7">
        <v>20423100000</v>
      </c>
      <c r="T34" s="5">
        <v>1.4</v>
      </c>
      <c r="U34" s="6">
        <v>7.4700000000000003E-2</v>
      </c>
      <c r="V34" s="15">
        <f t="shared" si="0"/>
        <v>45.87733333333334</v>
      </c>
      <c r="W34" s="19">
        <v>0.06</v>
      </c>
    </row>
    <row r="35" spans="1:23" ht="15.75" thickBot="1">
      <c r="A35" s="4" t="s">
        <v>41</v>
      </c>
      <c r="B35" s="21">
        <v>10.63</v>
      </c>
      <c r="C35" s="5">
        <v>6.39</v>
      </c>
      <c r="D35" s="5">
        <v>2.58</v>
      </c>
      <c r="E35" s="5">
        <v>0.84799999999999998</v>
      </c>
      <c r="F35" s="6">
        <v>9.4600000000000004E-2</v>
      </c>
      <c r="G35" s="5">
        <v>0.878</v>
      </c>
      <c r="H35" s="5">
        <v>1.31</v>
      </c>
      <c r="I35" s="5">
        <v>3.17</v>
      </c>
      <c r="J35" s="5">
        <v>3.73</v>
      </c>
      <c r="K35" s="5">
        <v>3.02</v>
      </c>
      <c r="L35" s="5">
        <v>2.93</v>
      </c>
      <c r="M35" s="23">
        <v>0.2671</v>
      </c>
      <c r="N35" s="6">
        <v>0.14580000000000001</v>
      </c>
      <c r="O35" s="5">
        <v>4.42</v>
      </c>
      <c r="P35" s="6">
        <v>0.44219999999999998</v>
      </c>
      <c r="Q35" s="13">
        <v>0.4032</v>
      </c>
      <c r="R35" s="7">
        <v>12326900</v>
      </c>
      <c r="S35" s="7">
        <v>841408000</v>
      </c>
      <c r="T35" s="5">
        <v>0.7</v>
      </c>
      <c r="U35" s="6">
        <v>0.28060000000000002</v>
      </c>
      <c r="V35" s="15">
        <f t="shared" si="0"/>
        <v>16.759966666666671</v>
      </c>
      <c r="W35" s="19">
        <v>0.06</v>
      </c>
    </row>
    <row r="36" spans="1:23" ht="15.75" thickBot="1">
      <c r="A36" s="8" t="s">
        <v>63</v>
      </c>
      <c r="B36" s="21">
        <v>6.39</v>
      </c>
      <c r="C36" s="9">
        <v>8.64</v>
      </c>
      <c r="D36" s="9">
        <v>3.28</v>
      </c>
      <c r="E36" s="9">
        <v>0.77700000000000002</v>
      </c>
      <c r="F36" s="10">
        <v>9.1300000000000006E-2</v>
      </c>
      <c r="G36" s="9">
        <v>0.45200000000000001</v>
      </c>
      <c r="H36" s="9">
        <v>19.63</v>
      </c>
      <c r="I36" s="9">
        <v>3.28</v>
      </c>
      <c r="J36" s="9">
        <v>-0.86</v>
      </c>
      <c r="K36" s="9">
        <v>6.09</v>
      </c>
      <c r="L36" s="9">
        <v>5.05</v>
      </c>
      <c r="M36" s="23">
        <v>0.2366</v>
      </c>
      <c r="N36" s="10">
        <v>0.12509999999999999</v>
      </c>
      <c r="O36" s="9">
        <v>1.0900000000000001</v>
      </c>
      <c r="P36" s="10">
        <v>0.16139999999999999</v>
      </c>
      <c r="Q36" s="13">
        <v>0.38009999999999999</v>
      </c>
      <c r="R36" s="11">
        <v>6882.8</v>
      </c>
      <c r="S36" s="11">
        <v>4108030000</v>
      </c>
      <c r="T36" s="9">
        <v>3.51</v>
      </c>
      <c r="U36" s="10">
        <v>0.10630000000000001</v>
      </c>
      <c r="V36" s="15">
        <f t="shared" si="0"/>
        <v>9.7234499999999997</v>
      </c>
      <c r="W36" s="19">
        <v>0.06</v>
      </c>
    </row>
    <row r="37" spans="1:23" ht="15.75" thickBot="1">
      <c r="A37" s="8" t="s">
        <v>43</v>
      </c>
      <c r="B37" s="21">
        <v>62.92</v>
      </c>
      <c r="C37" s="9">
        <v>6.9</v>
      </c>
      <c r="D37" s="9">
        <v>1.73</v>
      </c>
      <c r="E37" s="9">
        <v>1.042</v>
      </c>
      <c r="F37" s="10">
        <v>3.3799999999999997E-2</v>
      </c>
      <c r="G37" s="9">
        <v>0.98599999999999999</v>
      </c>
      <c r="H37" s="9">
        <v>3.12</v>
      </c>
      <c r="I37" s="9">
        <v>4.45</v>
      </c>
      <c r="J37" s="9">
        <v>9</v>
      </c>
      <c r="K37" s="9">
        <v>4.08</v>
      </c>
      <c r="L37" s="9">
        <v>3.79</v>
      </c>
      <c r="M37" s="23">
        <v>0.23430000000000001</v>
      </c>
      <c r="N37" s="10">
        <v>0.15090000000000001</v>
      </c>
      <c r="O37" s="9">
        <v>2.42</v>
      </c>
      <c r="P37" s="10">
        <v>0.26540000000000002</v>
      </c>
      <c r="Q37" s="13">
        <v>0.25080000000000002</v>
      </c>
      <c r="R37" s="11">
        <v>32933.300000000003</v>
      </c>
      <c r="S37" s="11">
        <v>220737000</v>
      </c>
      <c r="T37" s="9">
        <v>0.06</v>
      </c>
      <c r="U37" s="10">
        <v>0.18160000000000001</v>
      </c>
      <c r="V37" s="15">
        <f t="shared" si="0"/>
        <v>35.444933333333339</v>
      </c>
      <c r="W37" s="19">
        <v>0.06</v>
      </c>
    </row>
    <row r="38" spans="1:23" ht="15.75" thickBot="1">
      <c r="A38" s="8" t="s">
        <v>67</v>
      </c>
      <c r="B38" s="21">
        <v>22.76</v>
      </c>
      <c r="C38" s="9">
        <v>10.31</v>
      </c>
      <c r="D38" s="9">
        <v>6.13</v>
      </c>
      <c r="E38" s="9">
        <v>1.794</v>
      </c>
      <c r="F38" s="10">
        <v>9.98E-2</v>
      </c>
      <c r="G38" s="9">
        <v>1.679</v>
      </c>
      <c r="H38" s="9">
        <v>4.62</v>
      </c>
      <c r="I38" s="9">
        <v>7.81</v>
      </c>
      <c r="J38" s="9">
        <v>-69.53</v>
      </c>
      <c r="K38" s="9">
        <v>7.43</v>
      </c>
      <c r="L38" s="9">
        <v>7.18</v>
      </c>
      <c r="M38" s="23">
        <v>0.2298</v>
      </c>
      <c r="N38" s="10">
        <v>0.1822</v>
      </c>
      <c r="O38" s="9">
        <v>2.21</v>
      </c>
      <c r="P38" s="10">
        <v>0.36209999999999998</v>
      </c>
      <c r="Q38" s="13">
        <v>0.59440000000000004</v>
      </c>
      <c r="R38" s="11">
        <v>41821200</v>
      </c>
      <c r="S38" s="11">
        <v>1084020000</v>
      </c>
      <c r="T38" s="9">
        <v>1.02</v>
      </c>
      <c r="U38" s="10">
        <v>0.3145</v>
      </c>
      <c r="V38" s="15">
        <f t="shared" si="0"/>
        <v>37.857466666666667</v>
      </c>
      <c r="W38" s="19">
        <v>0.06</v>
      </c>
    </row>
    <row r="39" spans="1:23" ht="15.75" thickBot="1">
      <c r="A39" s="4" t="s">
        <v>33</v>
      </c>
      <c r="B39" s="21">
        <v>24.68</v>
      </c>
      <c r="C39" s="5">
        <v>5.33</v>
      </c>
      <c r="D39" s="5">
        <v>1</v>
      </c>
      <c r="E39" s="5">
        <v>0.65900000000000003</v>
      </c>
      <c r="F39" s="6">
        <v>9.64E-2</v>
      </c>
      <c r="G39" s="5">
        <v>0.40699999999999997</v>
      </c>
      <c r="H39" s="5">
        <v>33.159999999999997</v>
      </c>
      <c r="I39" s="5">
        <v>2.95</v>
      </c>
      <c r="J39" s="5">
        <v>-1.1499999999999999</v>
      </c>
      <c r="K39" s="5">
        <v>5.0599999999999996</v>
      </c>
      <c r="L39" s="5">
        <v>4.2</v>
      </c>
      <c r="M39" s="23">
        <v>0.22320000000000001</v>
      </c>
      <c r="N39" s="6">
        <v>0.1237</v>
      </c>
      <c r="O39" s="5">
        <v>1.05</v>
      </c>
      <c r="P39" s="6">
        <v>0.15679999999999999</v>
      </c>
      <c r="Q39" s="13">
        <v>0.1885</v>
      </c>
      <c r="R39" s="7">
        <v>8537.7999999999993</v>
      </c>
      <c r="S39" s="7">
        <v>4032650000</v>
      </c>
      <c r="T39" s="5">
        <v>0.88</v>
      </c>
      <c r="U39" s="6">
        <v>0.1087</v>
      </c>
      <c r="V39" s="15">
        <f t="shared" si="0"/>
        <v>39.652533333333331</v>
      </c>
      <c r="W39" s="19">
        <v>0.06</v>
      </c>
    </row>
    <row r="40" spans="1:23" ht="15.75" thickBot="1">
      <c r="A40" s="4" t="s">
        <v>55</v>
      </c>
      <c r="B40" s="21">
        <v>16.78</v>
      </c>
      <c r="C40" s="5">
        <v>7.55</v>
      </c>
      <c r="D40" s="5">
        <v>1.52</v>
      </c>
      <c r="E40" s="5">
        <v>1.258</v>
      </c>
      <c r="F40" s="6">
        <v>6.4699999999999994E-2</v>
      </c>
      <c r="G40" s="5">
        <v>1.0409999999999999</v>
      </c>
      <c r="H40" s="5">
        <v>20.39</v>
      </c>
      <c r="I40" s="5">
        <v>5.72</v>
      </c>
      <c r="J40" s="5">
        <v>-26.61</v>
      </c>
      <c r="K40" s="5">
        <v>5.71</v>
      </c>
      <c r="L40" s="5">
        <v>3.78</v>
      </c>
      <c r="M40" s="23">
        <v>0.2198</v>
      </c>
      <c r="N40" s="6">
        <v>0.1666</v>
      </c>
      <c r="O40" s="5">
        <v>1.23</v>
      </c>
      <c r="P40" s="6">
        <v>0.2225</v>
      </c>
      <c r="Q40" s="13">
        <v>0.20130000000000001</v>
      </c>
      <c r="R40" s="7">
        <v>613126</v>
      </c>
      <c r="S40" s="7">
        <v>461386000</v>
      </c>
      <c r="T40" s="5">
        <v>0.17</v>
      </c>
      <c r="U40" s="6">
        <v>4.8599999999999997E-2</v>
      </c>
      <c r="V40" s="15">
        <f t="shared" si="0"/>
        <v>18.094433333333335</v>
      </c>
      <c r="W40" s="19">
        <v>0.06</v>
      </c>
    </row>
    <row r="41" spans="1:23" ht="15.75" thickBot="1">
      <c r="A41" s="8" t="s">
        <v>30</v>
      </c>
      <c r="B41" s="21">
        <v>42</v>
      </c>
      <c r="C41" s="9">
        <v>2.5099999999999998</v>
      </c>
      <c r="D41" s="9">
        <v>2.2400000000000002</v>
      </c>
      <c r="E41" s="9">
        <v>0.502</v>
      </c>
      <c r="F41" s="10">
        <v>0</v>
      </c>
      <c r="G41" s="9">
        <v>0.69599999999999995</v>
      </c>
      <c r="H41" s="9">
        <v>1.77</v>
      </c>
      <c r="I41" s="9">
        <v>2.31</v>
      </c>
      <c r="J41" s="9">
        <v>-7.89</v>
      </c>
      <c r="K41" s="9">
        <v>1.87</v>
      </c>
      <c r="L41" s="9">
        <v>1.79</v>
      </c>
      <c r="M41" s="23">
        <v>0.2172</v>
      </c>
      <c r="N41" s="10">
        <v>0.20019999999999999</v>
      </c>
      <c r="O41" s="9">
        <v>2.89</v>
      </c>
      <c r="P41" s="10">
        <v>0.3805</v>
      </c>
      <c r="Q41" s="13">
        <v>0.8931</v>
      </c>
      <c r="R41" s="9">
        <v>207.5</v>
      </c>
      <c r="S41" s="11">
        <v>160224000</v>
      </c>
      <c r="T41" s="9">
        <v>0.03</v>
      </c>
      <c r="U41" s="10">
        <v>0.63719999999999999</v>
      </c>
      <c r="V41" s="15">
        <f t="shared" si="0"/>
        <v>0</v>
      </c>
      <c r="W41" s="19">
        <v>0.06</v>
      </c>
    </row>
    <row r="42" spans="1:23" ht="15.75" thickBot="1">
      <c r="A42" s="4" t="s">
        <v>29</v>
      </c>
      <c r="B42" s="21">
        <v>40</v>
      </c>
      <c r="C42" s="5">
        <v>2.39</v>
      </c>
      <c r="D42" s="5">
        <v>2.13</v>
      </c>
      <c r="E42" s="5">
        <v>0.47799999999999998</v>
      </c>
      <c r="F42" s="6">
        <v>0</v>
      </c>
      <c r="G42" s="5">
        <v>0.66300000000000003</v>
      </c>
      <c r="H42" s="5">
        <v>1.68</v>
      </c>
      <c r="I42" s="5">
        <v>2.2000000000000002</v>
      </c>
      <c r="J42" s="5">
        <v>-7.51</v>
      </c>
      <c r="K42" s="5">
        <v>1.76</v>
      </c>
      <c r="L42" s="5">
        <v>1.68</v>
      </c>
      <c r="M42" s="23">
        <v>0.2172</v>
      </c>
      <c r="N42" s="6">
        <v>0.20019999999999999</v>
      </c>
      <c r="O42" s="5">
        <v>2.89</v>
      </c>
      <c r="P42" s="6">
        <v>0.3805</v>
      </c>
      <c r="Q42" s="13">
        <v>0.8931</v>
      </c>
      <c r="R42" s="7">
        <v>3306.25</v>
      </c>
      <c r="S42" s="7">
        <v>160224000</v>
      </c>
      <c r="T42" s="5">
        <v>0.03</v>
      </c>
      <c r="U42" s="6">
        <v>0.63719999999999999</v>
      </c>
      <c r="V42" s="15">
        <f t="shared" si="0"/>
        <v>0</v>
      </c>
      <c r="W42" s="19">
        <v>0.06</v>
      </c>
    </row>
    <row r="43" spans="1:23" ht="15.75" thickBot="1">
      <c r="A43" s="4" t="s">
        <v>38</v>
      </c>
      <c r="B43" s="21">
        <v>10.63</v>
      </c>
      <c r="C43" s="5">
        <v>6.03</v>
      </c>
      <c r="D43" s="5">
        <v>1.59</v>
      </c>
      <c r="E43" s="5">
        <v>0.98799999999999999</v>
      </c>
      <c r="F43" s="6">
        <v>6.2700000000000006E-2</v>
      </c>
      <c r="G43" s="5">
        <v>1.129</v>
      </c>
      <c r="H43" s="5">
        <v>3.81</v>
      </c>
      <c r="I43" s="5">
        <v>4.5599999999999996</v>
      </c>
      <c r="J43" s="5">
        <v>5.07</v>
      </c>
      <c r="K43" s="5">
        <v>4.1100000000000003</v>
      </c>
      <c r="L43" s="5">
        <v>3.63</v>
      </c>
      <c r="M43" s="23">
        <v>0.2167</v>
      </c>
      <c r="N43" s="6">
        <v>0.16389999999999999</v>
      </c>
      <c r="O43" s="5">
        <v>2.38</v>
      </c>
      <c r="P43" s="6">
        <v>0.3034</v>
      </c>
      <c r="Q43" s="13">
        <v>0.26329999999999998</v>
      </c>
      <c r="R43" s="7">
        <v>511267</v>
      </c>
      <c r="S43" s="7">
        <v>283139000</v>
      </c>
      <c r="T43" s="5">
        <v>0.01</v>
      </c>
      <c r="U43" s="6">
        <v>0.35510000000000003</v>
      </c>
      <c r="V43" s="15">
        <f t="shared" si="0"/>
        <v>11.108350000000003</v>
      </c>
      <c r="W43" s="19">
        <v>0.06</v>
      </c>
    </row>
    <row r="44" spans="1:23" ht="15.75" thickBot="1">
      <c r="A44" s="4" t="s">
        <v>35</v>
      </c>
      <c r="B44" s="21">
        <v>8.8000000000000007</v>
      </c>
      <c r="C44" s="5">
        <v>5.54</v>
      </c>
      <c r="D44" s="5">
        <v>1.19</v>
      </c>
      <c r="E44" s="5">
        <v>1.399</v>
      </c>
      <c r="F44" s="6">
        <v>0.127</v>
      </c>
      <c r="G44" s="5">
        <v>0.63200000000000001</v>
      </c>
      <c r="H44" s="5">
        <v>1</v>
      </c>
      <c r="I44" s="5">
        <v>6.73</v>
      </c>
      <c r="J44" s="5">
        <v>1.59</v>
      </c>
      <c r="K44" s="5">
        <v>6.4</v>
      </c>
      <c r="L44" s="5">
        <v>6.37</v>
      </c>
      <c r="M44" s="23">
        <v>0.2077</v>
      </c>
      <c r="N44" s="6">
        <v>0.26569999999999999</v>
      </c>
      <c r="O44" s="5">
        <v>4.83</v>
      </c>
      <c r="P44" s="6">
        <v>0.1207</v>
      </c>
      <c r="Q44" s="13">
        <v>0.21560000000000001</v>
      </c>
      <c r="R44" s="7">
        <v>5611270</v>
      </c>
      <c r="S44" s="7">
        <v>1441380000</v>
      </c>
      <c r="T44" s="5">
        <v>0.32</v>
      </c>
      <c r="U44" s="6">
        <v>0.24740000000000001</v>
      </c>
      <c r="V44" s="15">
        <f t="shared" si="0"/>
        <v>18.626666666666669</v>
      </c>
      <c r="W44" s="19">
        <v>0.06</v>
      </c>
    </row>
    <row r="45" spans="1:23" ht="15.75" thickBot="1">
      <c r="A45" s="4" t="s">
        <v>66</v>
      </c>
      <c r="B45" s="21">
        <v>31.17</v>
      </c>
      <c r="C45" s="5">
        <v>9.7200000000000006</v>
      </c>
      <c r="D45" s="5">
        <v>2.63</v>
      </c>
      <c r="E45" s="5">
        <v>1.768</v>
      </c>
      <c r="F45" s="6">
        <v>0.10680000000000001</v>
      </c>
      <c r="G45" s="5">
        <v>0.56799999999999995</v>
      </c>
      <c r="H45" s="5">
        <v>1.77</v>
      </c>
      <c r="I45" s="5">
        <v>8.67</v>
      </c>
      <c r="J45" s="5">
        <v>-1.84</v>
      </c>
      <c r="K45" s="5">
        <v>9.02</v>
      </c>
      <c r="L45" s="5">
        <v>8.18</v>
      </c>
      <c r="M45" s="23">
        <v>0.20380000000000001</v>
      </c>
      <c r="N45" s="6">
        <v>0.2084</v>
      </c>
      <c r="O45" s="5">
        <v>3.38</v>
      </c>
      <c r="P45" s="6">
        <v>7.9799999999999996E-2</v>
      </c>
      <c r="Q45" s="13">
        <v>0.27029999999999998</v>
      </c>
      <c r="R45" s="7">
        <v>52990300</v>
      </c>
      <c r="S45" s="7">
        <v>2058530000</v>
      </c>
      <c r="T45" s="5">
        <v>0.86</v>
      </c>
      <c r="U45" s="6">
        <v>0.19439999999999999</v>
      </c>
      <c r="V45" s="15">
        <f t="shared" si="0"/>
        <v>55.482600000000012</v>
      </c>
      <c r="W45" s="19">
        <v>0.06</v>
      </c>
    </row>
  </sheetData>
  <autoFilter ref="A1:U45" xr:uid="{173668B4-D7E7-4F8A-ACE7-EB51C8076047}"/>
  <sortState xmlns:xlrd2="http://schemas.microsoft.com/office/spreadsheetml/2017/richdata2" ref="A2:W45">
    <sortCondition descending="1" ref="M2:M45"/>
  </sortState>
  <conditionalFormatting sqref="B2:B45">
    <cfRule type="cellIs" dxfId="17" priority="4" operator="lessThan">
      <formula>#REF!</formula>
    </cfRule>
  </conditionalFormatting>
  <hyperlinks>
    <hyperlink ref="A1" r:id="rId1" tooltip="Sort on “Papel”" display="https://fundamentus.com.br/resultado.php" xr:uid="{6D69CCF2-3A6B-4AA8-9B55-2CEE630AA918}"/>
    <hyperlink ref="B1" r:id="rId2" tooltip="Sort on “Cotação”" display="https://fundamentus.com.br/resultado.php" xr:uid="{BFCE7065-0F9B-4D23-979E-9BF43F8FBDD8}"/>
    <hyperlink ref="C1" r:id="rId3" tooltip="Sort on “P/L”" display="https://fundamentus.com.br/resultado.php" xr:uid="{31D5E7A7-E41A-4197-B372-0B702B4FD387}"/>
    <hyperlink ref="D1" r:id="rId4" tooltip="Sort on “P/VP”" display="https://fundamentus.com.br/resultado.php" xr:uid="{8BC4ABBB-9B97-4AA6-BA7A-B461CE061743}"/>
    <hyperlink ref="E1" r:id="rId5" tooltip="Sort on “PSR”" display="https://fundamentus.com.br/resultado.php" xr:uid="{C2B13897-24ED-4C33-8B09-E4550382ED57}"/>
    <hyperlink ref="F1" r:id="rId6" tooltip="Sort on “Div.Yield”" display="https://fundamentus.com.br/resultado.php" xr:uid="{C0CC3E05-5BF6-48C1-9A0E-25309F5D8DED}"/>
    <hyperlink ref="G1" r:id="rId7" tooltip="Sort on “P/Ativo”" display="https://fundamentus.com.br/resultado.php" xr:uid="{8FFD5887-EB67-489B-B6CF-88DC470525A6}"/>
    <hyperlink ref="H1" r:id="rId8" tooltip="Sort on “P/Cap.Giro”" display="https://fundamentus.com.br/resultado.php" xr:uid="{08757D90-03C3-4611-9013-D836DCA7E20A}"/>
    <hyperlink ref="I1" r:id="rId9" tooltip="Sort on “P/EBIT”" display="https://fundamentus.com.br/resultado.php" xr:uid="{336DEBCA-09D5-4228-879B-AA3210C1CCCF}"/>
    <hyperlink ref="J1" r:id="rId10" tooltip="Sort on “P/Ativ Circ.Liq”" display="https://fundamentus.com.br/resultado.php" xr:uid="{79F6AF9B-CB6D-4E34-BEC5-F6C4067E29E1}"/>
    <hyperlink ref="K1" r:id="rId11" tooltip="Sort on “EV/EBIT”" display="https://fundamentus.com.br/resultado.php" xr:uid="{5218B5E1-BA08-4BC4-A194-DC62112CFFBA}"/>
    <hyperlink ref="L1" r:id="rId12" tooltip="Sort on “EV/EBITDA”" display="https://fundamentus.com.br/resultado.php" xr:uid="{7B4238BE-4EA1-4EF6-BC82-CBB7684C5F63}"/>
    <hyperlink ref="M1" r:id="rId13" tooltip="Sort on “Mrg Ebit”" display="https://fundamentus.com.br/resultado.php" xr:uid="{14B6ABA1-95EA-4591-8107-89DD3535EC9E}"/>
    <hyperlink ref="N1" r:id="rId14" tooltip="Sort on “Mrg. Líq.”" display="https://fundamentus.com.br/resultado.php" xr:uid="{232F5B10-5A1F-427B-8727-EB51E21A24E4}"/>
    <hyperlink ref="O1" r:id="rId15" tooltip="Sort on “Liq. Corr.”" display="https://fundamentus.com.br/resultado.php" xr:uid="{BE655843-463F-4E3F-9813-170221E173A0}"/>
    <hyperlink ref="P1" r:id="rId16" tooltip="Sort on “ROIC”" display="https://fundamentus.com.br/resultado.php" xr:uid="{BC2273E4-735D-424E-89D7-1B522446A81A}"/>
    <hyperlink ref="Q1" r:id="rId17" tooltip="Sort on “ROE”" display="https://fundamentus.com.br/resultado.php" xr:uid="{818BCAAE-AA03-4633-A208-8D5AB5A2E524}"/>
    <hyperlink ref="R1" r:id="rId18" tooltip="Sort on “Liq.2meses”" display="https://fundamentus.com.br/resultado.php" xr:uid="{1A0457FB-A943-44B9-A8F0-2086EA05B35F}"/>
    <hyperlink ref="S1" r:id="rId19" tooltip="Sort on “Patrim. Líq”" display="https://fundamentus.com.br/resultado.php" xr:uid="{46569819-0154-4E9E-8A22-A5B2B7EC51D4}"/>
    <hyperlink ref="T1" r:id="rId20" tooltip="Sort on “Dív.Brut/ Patrim.”" display="https://fundamentus.com.br/resultado.php" xr:uid="{3543B718-77E5-4482-B925-71E5CEA3EF7C}"/>
    <hyperlink ref="U1" r:id="rId21" tooltip="Sort on “Cresc. Rec.5a”" display="https://fundamentus.com.br/resultado.php" xr:uid="{96D0D3AC-B374-4AAB-B774-A59A05D78F8D}"/>
    <hyperlink ref="A22" r:id="rId22" display="https://fundamentus.com.br/detalhes.php?papel=SYNE3" xr:uid="{B087DA99-E298-4087-B3E3-6417D892C086}"/>
    <hyperlink ref="A12" r:id="rId23" display="https://fundamentus.com.br/detalhes.php?papel=EGIE3" xr:uid="{EF3D24FE-C73E-40B4-B586-110817299DD4}"/>
    <hyperlink ref="A5" r:id="rId24" display="https://fundamentus.com.br/detalhes.php?papel=B3SA3" xr:uid="{196D69CC-53B1-469E-B03C-BCDE8FF48B05}"/>
    <hyperlink ref="A2" r:id="rId25" display="https://fundamentus.com.br/detalhes.php?papel=MULT3" xr:uid="{270AF85C-2028-4207-A36D-4FEABFCD438D}"/>
    <hyperlink ref="A6" r:id="rId26" display="https://fundamentus.com.br/detalhes.php?papel=TAEE4" xr:uid="{FE02B09B-327C-4786-B4A4-785E2FEDA8C3}"/>
    <hyperlink ref="A7" r:id="rId27" display="https://fundamentus.com.br/detalhes.php?papel=TAEE11" xr:uid="{62BBB367-4D83-45DD-98E5-85B039B8AF7E}"/>
    <hyperlink ref="A8" r:id="rId28" display="https://fundamentus.com.br/detalhes.php?papel=TAEE3" xr:uid="{6258EACC-03AB-48C8-A5BF-0DC2378F6CD3}"/>
    <hyperlink ref="A23" r:id="rId29" display="https://fundamentus.com.br/detalhes.php?papel=CEBR6" xr:uid="{0C280B87-840C-4D87-A58E-D6E10790BC2A}"/>
    <hyperlink ref="A24" r:id="rId30" display="https://fundamentus.com.br/detalhes.php?papel=CEBR3" xr:uid="{186D89D1-DEA4-4EFD-8E71-A270750B4DD1}"/>
    <hyperlink ref="A11" r:id="rId31" display="https://fundamentus.com.br/detalhes.php?papel=PRIO3" xr:uid="{59AEDB4E-1DA5-4A7D-A9B1-4D8EDFD537B7}"/>
    <hyperlink ref="A25" r:id="rId32" display="https://fundamentus.com.br/detalhes.php?papel=CEBR5" xr:uid="{DE79B729-6374-4EFD-BCFC-32EC82897FB3}"/>
    <hyperlink ref="A3" r:id="rId33" display="https://fundamentus.com.br/detalhes.php?papel=ISAE3" xr:uid="{639799FA-75F9-461B-A030-ACEBAB7B65A8}"/>
    <hyperlink ref="A4" r:id="rId34" display="https://fundamentus.com.br/detalhes.php?papel=ISAE4" xr:uid="{8B211E61-FFFD-4E02-9ACD-F5EB4E1DE40C}"/>
    <hyperlink ref="A9" r:id="rId35" display="https://fundamentus.com.br/detalhes.php?papel=HBTS5" xr:uid="{23958AEB-035C-4E4C-8FEA-5A9DB54F112E}"/>
    <hyperlink ref="A39" r:id="rId36" display="https://fundamentus.com.br/detalhes.php?papel=EQMA3B" xr:uid="{E398DD4B-5495-4184-A5EB-BAE9275313BB}"/>
    <hyperlink ref="A10" r:id="rId37" display="https://fundamentus.com.br/detalhes.php?papel=WIZC3" xr:uid="{CC2A4FFA-B9FF-4F1C-928E-46CE71BF6FC3}"/>
    <hyperlink ref="A44" r:id="rId38" display="https://fundamentus.com.br/detalhes.php?papel=LAVV3" xr:uid="{1BD05376-5974-437D-BCE8-5040DB83B903}"/>
    <hyperlink ref="A15" r:id="rId39" display="https://fundamentus.com.br/detalhes.php?papel=PETR4" xr:uid="{263595AF-545D-4682-BA6F-556779FB29EC}"/>
    <hyperlink ref="A43" r:id="rId40" display="https://fundamentus.com.br/detalhes.php?papel=CAMB3" xr:uid="{3D6FC083-1DCB-4F7A-86BA-462F955F7FAB}"/>
    <hyperlink ref="A30" r:id="rId41" display="https://fundamentus.com.br/detalhes.php?papel=CSMG3" xr:uid="{E5D1FFEA-4112-458F-8B6D-9E0BDFBAAA5E}"/>
    <hyperlink ref="A14" r:id="rId42" display="https://fundamentus.com.br/detalhes.php?papel=PETR3" xr:uid="{EA0AAF59-52F2-470A-B704-5EEC11CB6601}"/>
    <hyperlink ref="A37" r:id="rId43" display="https://fundamentus.com.br/detalhes.php?papel=RSUL4" xr:uid="{6FC29C28-3C71-4D42-9CD7-0C55CF937025}"/>
    <hyperlink ref="A20" r:id="rId44" display="https://fundamentus.com.br/detalhes.php?papel=MRSA6B" xr:uid="{0D277EFB-924F-4EC7-B9D8-A5909DBA351B}"/>
    <hyperlink ref="A21" r:id="rId45" display="https://fundamentus.com.br/detalhes.php?papel=MRSA6B" xr:uid="{19AD9E29-30BF-4F2F-97DF-E3DF504E7E07}"/>
    <hyperlink ref="A16" r:id="rId46" display="https://fundamentus.com.br/detalhes.php?papel=MRSA5B" xr:uid="{926A0355-4719-4F1B-AE96-FBCD85ADCCC8}"/>
    <hyperlink ref="A17" r:id="rId47" display="https://fundamentus.com.br/detalhes.php?papel=MRSA5B" xr:uid="{FB7B8A64-248C-435D-910B-2CABAF403008}"/>
    <hyperlink ref="A18" r:id="rId48" display="https://fundamentus.com.br/detalhes.php?papel=MRSA3B" xr:uid="{E6E03613-06C3-4E18-9A34-BE367DE8BF4C}"/>
    <hyperlink ref="A19" r:id="rId49" display="https://fundamentus.com.br/detalhes.php?papel=MRSA3B" xr:uid="{EAF2575E-C605-45D8-9B67-CA9BF67EA82A}"/>
    <hyperlink ref="A13" r:id="rId50" display="https://fundamentus.com.br/detalhes.php?papel=SBSP3" xr:uid="{2A67501E-495E-4795-9EE3-4627D711C9D3}"/>
    <hyperlink ref="A27" r:id="rId51" display="https://fundamentus.com.br/detalhes.php?papel=MILS3" xr:uid="{59F75E1D-FC8B-4626-9F59-DC61BC88691A}"/>
    <hyperlink ref="A34" r:id="rId52" display="https://fundamentus.com.br/detalhes.php?papel=CPFE3" xr:uid="{4700A25F-4A0E-40E7-9C05-8E048CD3B907}"/>
    <hyperlink ref="A40" r:id="rId53" display="https://fundamentus.com.br/detalhes.php?papel=CSUD3" xr:uid="{B7B5A983-AC31-49F7-953C-2363365F708C}"/>
    <hyperlink ref="A28" r:id="rId54" display="https://fundamentus.com.br/detalhes.php?papel=ARML3" xr:uid="{5BCCC7C9-66E9-44E9-9655-C9E2DCD23E0E}"/>
    <hyperlink ref="A26" r:id="rId55" display="https://fundamentus.com.br/detalhes.php?papel=VALE3" xr:uid="{6732F637-6168-46C4-97BA-4C966DC5DCA3}"/>
    <hyperlink ref="A45" r:id="rId56" display="https://fundamentus.com.br/detalhes.php?papel=DIRR3" xr:uid="{06D2CD11-2928-439C-8714-708B75040FDD}"/>
    <hyperlink ref="A33" r:id="rId57" display="https://fundamentus.com.br/detalhes.php?papel=ODPV3" xr:uid="{CD0831D9-4971-4D51-84E6-D4E27D9EBBA8}"/>
    <hyperlink ref="A38" r:id="rId58" display="https://fundamentus.com.br/detalhes.php?papel=CURY3" xr:uid="{09060D25-8135-439C-8575-2B73F545E8E2}"/>
    <hyperlink ref="A36" r:id="rId59" display="https://fundamentus.com.br/detalhes.php?papel=REDE3" xr:uid="{5612D65E-B38C-4AE1-89CB-3A09361D1B3F}"/>
    <hyperlink ref="A31" r:id="rId60" display="https://fundamentus.com.br/detalhes.php?papel=EQPA5" xr:uid="{18117CBC-8CAD-4F18-B521-1A0EF36F9BB4}"/>
    <hyperlink ref="A29" r:id="rId61" display="https://fundamentus.com.br/detalhes.php?papel=CMIN3" xr:uid="{36D15D1B-7304-4B1E-BEC0-21740B0D3E6E}"/>
    <hyperlink ref="A35" r:id="rId62" display="https://fundamentus.com.br/detalhes.php?papel=PLPL3" xr:uid="{286D2361-8C61-408E-9D73-D074C251F344}"/>
    <hyperlink ref="A32" r:id="rId63" display="https://fundamentus.com.br/detalhes.php?papel=EQPA3" xr:uid="{E11BFF46-1C1D-4C4B-BC3B-660FF5AACE52}"/>
    <hyperlink ref="A41" r:id="rId64" display="https://fundamentus.com.br/detalhes.php?papel=AHEB6" xr:uid="{D02F603F-59DB-4FF7-BB47-8EE29ACBBEEE}"/>
    <hyperlink ref="A42" r:id="rId65" display="https://fundamentus.com.br/detalhes.php?papel=AHEB3" xr:uid="{88A0E0E9-DB79-4AE7-8505-5C8F03A2D9E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1. Indicadores Primários</vt:lpstr>
      <vt:lpstr>Preço Teto Prpjetivo</vt:lpstr>
      <vt:lpstr>2. Fórmula de Graham</vt:lpstr>
      <vt:lpstr>3. Fórmula de Lynch</vt:lpstr>
      <vt:lpstr>3. Fórmula de Bazin</vt:lpstr>
      <vt:lpstr>Planilha3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Wille</dc:creator>
  <cp:lastModifiedBy>marcos wille</cp:lastModifiedBy>
  <dcterms:created xsi:type="dcterms:W3CDTF">2015-06-05T18:19:34Z</dcterms:created>
  <dcterms:modified xsi:type="dcterms:W3CDTF">2025-03-21T13:05:13Z</dcterms:modified>
</cp:coreProperties>
</file>