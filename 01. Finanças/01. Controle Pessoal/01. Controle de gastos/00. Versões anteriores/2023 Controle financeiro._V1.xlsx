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2633D91-89B2-4F38-A3EB-0819D0DE448E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PAINEL" sheetId="8" r:id="rId1"/>
    <sheet name="TABELAS" sheetId="7" r:id="rId2"/>
    <sheet name="TRANSAÇÕES" sheetId="1" r:id="rId3"/>
    <sheet name="TAGS" sheetId="5" r:id="rId4"/>
  </sheets>
  <definedNames>
    <definedName name="_xlnm._FilterDatabase" localSheetId="2" hidden="1">TRANSAÇÕES!$A$3:$J$89</definedName>
    <definedName name="SegmentaçãodeDados_Mês">#N/A</definedName>
    <definedName name="SegmentaçãodeDados_Tag">#N/A</definedName>
  </definedNames>
  <calcPr calcId="191029"/>
  <pivotCaches>
    <pivotCache cacheId="2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I111" i="1"/>
  <c r="I4" i="1"/>
  <c r="I2" i="1"/>
  <c r="H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I112" i="1"/>
  <c r="J111" i="1"/>
  <c r="J112" i="1"/>
  <c r="I108" i="1"/>
  <c r="I10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8" i="1"/>
  <c r="J89" i="1"/>
  <c r="J90" i="1"/>
  <c r="J8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1" i="1"/>
  <c r="I102" i="1"/>
  <c r="I103" i="1"/>
  <c r="I104" i="1"/>
  <c r="I105" i="1"/>
  <c r="I106" i="1"/>
  <c r="I107" i="1"/>
  <c r="I109" i="1"/>
  <c r="I110" i="1"/>
  <c r="I5" i="1"/>
  <c r="I6" i="1"/>
  <c r="I7" i="1"/>
  <c r="I8" i="1"/>
  <c r="G9" i="8"/>
  <c r="E9" i="8"/>
  <c r="C9" i="8" l="1"/>
  <c r="J2" i="1"/>
</calcChain>
</file>

<file path=xl/sharedStrings.xml><?xml version="1.0" encoding="utf-8"?>
<sst xmlns="http://schemas.openxmlformats.org/spreadsheetml/2006/main" count="516" uniqueCount="81">
  <si>
    <t>Descrição</t>
  </si>
  <si>
    <t>Forma de Pagamento</t>
  </si>
  <si>
    <t>Aluguel</t>
  </si>
  <si>
    <t>Boleto</t>
  </si>
  <si>
    <t>Condomínio</t>
  </si>
  <si>
    <t>Pix</t>
  </si>
  <si>
    <t>Status</t>
  </si>
  <si>
    <t>Luz</t>
  </si>
  <si>
    <t>Internet</t>
  </si>
  <si>
    <t>Rótulos de Linha</t>
  </si>
  <si>
    <t>Total Geral</t>
  </si>
  <si>
    <t>Moradia</t>
  </si>
  <si>
    <t>Tag de Despesas</t>
  </si>
  <si>
    <t>Mercado</t>
  </si>
  <si>
    <t>Transporte</t>
  </si>
  <si>
    <t>Lazer</t>
  </si>
  <si>
    <t>Uber</t>
  </si>
  <si>
    <t>Débito</t>
  </si>
  <si>
    <t>Data de Vencimento / Comprra</t>
  </si>
  <si>
    <t>Data do Pagamento / Compra</t>
  </si>
  <si>
    <t xml:space="preserve">Posto </t>
  </si>
  <si>
    <t>Pop</t>
  </si>
  <si>
    <t>Hot dog</t>
  </si>
  <si>
    <t>OPA Bier</t>
  </si>
  <si>
    <t>Restairante</t>
  </si>
  <si>
    <t>Cerveja</t>
  </si>
  <si>
    <t>Lanche</t>
  </si>
  <si>
    <t>Cabelo</t>
  </si>
  <si>
    <t>Beleza</t>
  </si>
  <si>
    <t>Pizza</t>
  </si>
  <si>
    <t>Pagode</t>
  </si>
  <si>
    <t>Cooper</t>
  </si>
  <si>
    <t>Educação</t>
  </si>
  <si>
    <t>Pedro</t>
  </si>
  <si>
    <t>Identidade Pedro</t>
  </si>
  <si>
    <t>Outros</t>
  </si>
  <si>
    <t>Faculdade</t>
  </si>
  <si>
    <t>Celular Iza</t>
  </si>
  <si>
    <t>Tim</t>
  </si>
  <si>
    <t>Havan</t>
  </si>
  <si>
    <t xml:space="preserve">Padaria </t>
  </si>
  <si>
    <t>Doação</t>
  </si>
  <si>
    <t>Cigarro</t>
  </si>
  <si>
    <t>JM Distribuidora</t>
  </si>
  <si>
    <t>Milium</t>
  </si>
  <si>
    <t>Boné Pedro</t>
  </si>
  <si>
    <t>Hot Dog</t>
  </si>
  <si>
    <t>Bar Garoto</t>
  </si>
  <si>
    <t>Milenium</t>
  </si>
  <si>
    <t>Andréia</t>
  </si>
  <si>
    <t>13º</t>
  </si>
  <si>
    <t>Férias</t>
  </si>
  <si>
    <t>Mês</t>
  </si>
  <si>
    <t>Caixa</t>
  </si>
  <si>
    <t>Receita</t>
  </si>
  <si>
    <t>Despesa</t>
  </si>
  <si>
    <t>Tag</t>
  </si>
  <si>
    <t>Salário</t>
  </si>
  <si>
    <t>Valor</t>
  </si>
  <si>
    <t>Next</t>
  </si>
  <si>
    <t>Formas de pagamento</t>
  </si>
  <si>
    <t>Crédito</t>
  </si>
  <si>
    <t>Toninho</t>
  </si>
  <si>
    <t>Burger King</t>
  </si>
  <si>
    <t>Presente Iza</t>
  </si>
  <si>
    <t>Angeloni</t>
  </si>
  <si>
    <t xml:space="preserve">                                             Fluxo de caixa</t>
  </si>
  <si>
    <t>DESPESA</t>
  </si>
  <si>
    <t>CAIXA</t>
  </si>
  <si>
    <t>RECEITA</t>
  </si>
  <si>
    <t xml:space="preserve"> </t>
  </si>
  <si>
    <t>Toninho (Almoço)</t>
  </si>
  <si>
    <t>Soma de Valor</t>
  </si>
  <si>
    <t>(Tudo)</t>
  </si>
  <si>
    <t>DESPESAS</t>
  </si>
  <si>
    <t>Categoria de despesa</t>
  </si>
  <si>
    <t>Categoria de Despesa</t>
  </si>
  <si>
    <t>Investimento</t>
  </si>
  <si>
    <t>Desc</t>
  </si>
  <si>
    <t>Essencial</t>
  </si>
  <si>
    <t>Não essencial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</si>
</sst>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3" fillId="0" borderId="1" xfId="0" applyNumberFormat="1" applyFont="1" applyBorder="1" applyAlignment="1">
      <alignment horizontal="left"/>
    </xf>
    <xf numFmtId="14" fontId="3" fillId="2" borderId="6" xfId="0" applyNumberFormat="1" applyFont="1" applyFill="1" applyBorder="1" applyAlignment="1">
      <alignment horizontal="left"/>
    </xf>
    <xf numFmtId="14" fontId="3" fillId="2" borderId="9" xfId="0" applyNumberFormat="1" applyFont="1" applyFill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0" fontId="3" fillId="3" borderId="0" xfId="0" applyFont="1" applyFill="1" applyAlignment="1" applyProtection="1">
      <alignment horizontal="left"/>
      <protection locked="0"/>
    </xf>
    <xf numFmtId="44" fontId="3" fillId="3" borderId="0" xfId="1" applyFont="1" applyFill="1" applyAlignment="1" applyProtection="1">
      <alignment horizontal="left"/>
      <protection locked="0"/>
    </xf>
    <xf numFmtId="14" fontId="3" fillId="3" borderId="0" xfId="0" applyNumberFormat="1" applyFont="1" applyFill="1" applyAlignment="1" applyProtection="1">
      <alignment horizontal="left"/>
      <protection locked="0"/>
    </xf>
    <xf numFmtId="14" fontId="4" fillId="5" borderId="1" xfId="0" applyNumberFormat="1" applyFont="1" applyFill="1" applyBorder="1" applyAlignment="1" applyProtection="1">
      <alignment horizontal="center" vertical="center"/>
      <protection locked="0"/>
    </xf>
    <xf numFmtId="14" fontId="4" fillId="6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2" fillId="3" borderId="0" xfId="0" applyFont="1" applyFill="1" applyAlignment="1" applyProtection="1">
      <alignment horizontal="left" vertical="top"/>
      <protection locked="0"/>
    </xf>
    <xf numFmtId="0" fontId="2" fillId="3" borderId="0" xfId="0" applyFont="1" applyFill="1" applyProtection="1">
      <protection locked="0"/>
    </xf>
    <xf numFmtId="44" fontId="5" fillId="4" borderId="1" xfId="1" applyFont="1" applyFill="1" applyBorder="1" applyProtection="1">
      <protection locked="0"/>
    </xf>
    <xf numFmtId="44" fontId="6" fillId="4" borderId="1" xfId="1" applyFont="1" applyFill="1" applyBorder="1" applyProtection="1">
      <protection locked="0"/>
    </xf>
    <xf numFmtId="44" fontId="7" fillId="4" borderId="1" xfId="1" applyFont="1" applyFill="1" applyBorder="1" applyProtection="1">
      <protection locked="0"/>
    </xf>
    <xf numFmtId="0" fontId="0" fillId="0" borderId="0" xfId="0" applyProtection="1">
      <protection locked="0"/>
    </xf>
    <xf numFmtId="44" fontId="0" fillId="0" borderId="0" xfId="0" applyNumberFormat="1" applyProtection="1"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4" fontId="3" fillId="2" borderId="2" xfId="1" applyFont="1" applyFill="1" applyBorder="1" applyAlignment="1" applyProtection="1">
      <alignment horizontal="center" vertical="center" wrapText="1"/>
      <protection locked="0"/>
    </xf>
    <xf numFmtId="14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14" fontId="3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44" fontId="3" fillId="0" borderId="1" xfId="1" applyFont="1" applyBorder="1" applyAlignment="1" applyProtection="1">
      <alignment horizontal="left"/>
      <protection locked="0"/>
    </xf>
    <xf numFmtId="14" fontId="3" fillId="0" borderId="1" xfId="0" applyNumberFormat="1" applyFont="1" applyBorder="1" applyAlignment="1" applyProtection="1">
      <alignment horizontal="left"/>
      <protection locked="0"/>
    </xf>
    <xf numFmtId="44" fontId="3" fillId="0" borderId="4" xfId="1" applyFont="1" applyBorder="1" applyAlignment="1" applyProtection="1">
      <alignment horizontal="left"/>
      <protection locked="0"/>
    </xf>
    <xf numFmtId="14" fontId="3" fillId="0" borderId="4" xfId="0" applyNumberFormat="1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8" xfId="0" applyFont="1" applyBorder="1" applyAlignment="1" applyProtection="1">
      <alignment horizontal="left"/>
      <protection locked="0"/>
    </xf>
    <xf numFmtId="44" fontId="3" fillId="0" borderId="8" xfId="1" applyFont="1" applyBorder="1" applyAlignment="1" applyProtection="1">
      <alignment horizontal="left"/>
      <protection locked="0"/>
    </xf>
    <xf numFmtId="14" fontId="3" fillId="0" borderId="8" xfId="0" applyNumberFormat="1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44" fontId="3" fillId="0" borderId="0" xfId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left" indent="1"/>
    </xf>
    <xf numFmtId="0" fontId="8" fillId="3" borderId="0" xfId="0" applyFont="1" applyFill="1"/>
    <xf numFmtId="44" fontId="8" fillId="3" borderId="0" xfId="0" applyNumberFormat="1" applyFont="1" applyFill="1"/>
    <xf numFmtId="0" fontId="8" fillId="5" borderId="0" xfId="0" applyFont="1" applyFill="1"/>
    <xf numFmtId="44" fontId="8" fillId="5" borderId="0" xfId="0" applyNumberFormat="1" applyFont="1" applyFill="1"/>
    <xf numFmtId="0" fontId="8" fillId="6" borderId="0" xfId="0" applyFont="1" applyFill="1"/>
    <xf numFmtId="44" fontId="8" fillId="6" borderId="0" xfId="0" applyNumberFormat="1" applyFont="1" applyFill="1"/>
    <xf numFmtId="0" fontId="3" fillId="0" borderId="1" xfId="0" applyFont="1" applyBorder="1" applyAlignment="1" applyProtection="1">
      <alignment horizontal="left"/>
    </xf>
    <xf numFmtId="0" fontId="0" fillId="0" borderId="0" xfId="0" applyNumberFormat="1"/>
    <xf numFmtId="44" fontId="0" fillId="0" borderId="0" xfId="1" applyFont="1"/>
    <xf numFmtId="164" fontId="0" fillId="0" borderId="0" xfId="0" applyNumberFormat="1"/>
  </cellXfs>
  <cellStyles count="2">
    <cellStyle name="Moeda" xfId="1" builtinId="4"/>
    <cellStyle name="Normal" xfId="0" builtinId="0"/>
  </cellStyles>
  <dxfs count="4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font>
        <color theme="0"/>
      </font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ont>
        <color theme="0"/>
      </font>
      <fill>
        <gradientFill type="path">
          <stop position="0">
            <color theme="0"/>
          </stop>
          <stop position="1">
            <color rgb="FF00B0F0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protection locked="0" hidden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financeiro.xlsx]TABELAS!Tabela dinâmica1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Resumo de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TABELAS!$J$4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DC-41EC-A6AF-5A09A0680D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TABELAS!$I$5:$I$8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TABELAS!$J$5:$J$8</c:f>
              <c:numCache>
                <c:formatCode>"R$"\ #,##0.00</c:formatCode>
                <c:ptCount val="3"/>
                <c:pt idx="0">
                  <c:v>2727.2599999999998</c:v>
                </c:pt>
                <c:pt idx="1">
                  <c:v>463</c:v>
                </c:pt>
                <c:pt idx="2">
                  <c:v>1373.0000000000005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C-41EC-A6AF-5A09A0680D8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financeiro.xlsx]TABELAS!Tabela dinâmica3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Gasto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TABELAS!$B$5:$B$12</c:f>
              <c:strCache>
                <c:ptCount val="7"/>
                <c:pt idx="0">
                  <c:v>Moradia</c:v>
                </c:pt>
                <c:pt idx="1">
                  <c:v>Lazer</c:v>
                </c:pt>
                <c:pt idx="2">
                  <c:v>Mercado</c:v>
                </c:pt>
                <c:pt idx="3">
                  <c:v>Transporte</c:v>
                </c:pt>
                <c:pt idx="4">
                  <c:v>Educação</c:v>
                </c:pt>
                <c:pt idx="5">
                  <c:v>Outros</c:v>
                </c:pt>
                <c:pt idx="6">
                  <c:v>Beleza</c:v>
                </c:pt>
              </c:strCache>
            </c:strRef>
          </c:cat>
          <c:val>
            <c:numRef>
              <c:f>TABELAS!$C$5:$C$12</c:f>
              <c:numCache>
                <c:formatCode>"R$"\ #,##0.00</c:formatCode>
                <c:ptCount val="7"/>
                <c:pt idx="0">
                  <c:v>1550</c:v>
                </c:pt>
                <c:pt idx="1">
                  <c:v>820.70000000000016</c:v>
                </c:pt>
                <c:pt idx="2">
                  <c:v>627.07000000000005</c:v>
                </c:pt>
                <c:pt idx="3">
                  <c:v>550.19000000000005</c:v>
                </c:pt>
                <c:pt idx="4">
                  <c:v>463</c:v>
                </c:pt>
                <c:pt idx="5">
                  <c:v>402.3</c:v>
                </c:pt>
                <c:pt idx="6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E-4D53-80D8-98AEFCAC0E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"/>
        <c:axId val="1250686623"/>
        <c:axId val="1493767039"/>
      </c:barChart>
      <c:catAx>
        <c:axId val="12506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67039"/>
        <c:crosses val="autoZero"/>
        <c:auto val="1"/>
        <c:lblAlgn val="ctr"/>
        <c:lblOffset val="100"/>
        <c:noMultiLvlLbl val="0"/>
      </c:catAx>
      <c:valAx>
        <c:axId val="149376703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5068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financeiro.xlsx]TABELAS!Tabela dinâmica5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Total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TABELAS!$M$4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TABELAS!$L$5:$L$7</c:f>
              <c:multiLvlStrCache>
                <c:ptCount val="1"/>
                <c:lvl>
                  <c:pt idx="0">
                    <c:v>Cabelo</c:v>
                  </c:pt>
                </c:lvl>
                <c:lvl>
                  <c:pt idx="0">
                    <c:v>Não essencial</c:v>
                  </c:pt>
                </c:lvl>
              </c:multiLvlStrCache>
            </c:multiLvlStrRef>
          </c:cat>
          <c:val>
            <c:numRef>
              <c:f>TABELAS!$M$5:$M$7</c:f>
              <c:numCache>
                <c:formatCode>"R$"\ #,##0.00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85D-9B85-D1227C3B5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8062223"/>
        <c:axId val="1493771999"/>
      </c:barChart>
      <c:catAx>
        <c:axId val="14980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71999"/>
        <c:crosses val="autoZero"/>
        <c:auto val="1"/>
        <c:lblAlgn val="ctr"/>
        <c:lblOffset val="100"/>
        <c:noMultiLvlLbl val="0"/>
      </c:catAx>
      <c:valAx>
        <c:axId val="149377199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9806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3</xdr:row>
      <xdr:rowOff>0</xdr:rowOff>
    </xdr:from>
    <xdr:to>
      <xdr:col>17</xdr:col>
      <xdr:colOff>103434</xdr:colOff>
      <xdr:row>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ês">
              <a:extLst>
                <a:ext uri="{FF2B5EF4-FFF2-40B4-BE49-F238E27FC236}">
                  <a16:creationId xmlns:a16="http://schemas.microsoft.com/office/drawing/2014/main" id="{E8987469-9F30-4195-8154-D36710EE411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9" y="571500"/>
              <a:ext cx="11285785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10</xdr:row>
      <xdr:rowOff>114300</xdr:rowOff>
    </xdr:from>
    <xdr:to>
      <xdr:col>6</xdr:col>
      <xdr:colOff>581025</xdr:colOff>
      <xdr:row>25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DB31E4-30E7-48B9-A4A3-BCB4D6227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</xdr:row>
      <xdr:rowOff>114300</xdr:rowOff>
    </xdr:from>
    <xdr:to>
      <xdr:col>16</xdr:col>
      <xdr:colOff>495300</xdr:colOff>
      <xdr:row>25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0AFF032-7566-49F4-AAE3-1BBE79EF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26</xdr:row>
      <xdr:rowOff>114300</xdr:rowOff>
    </xdr:from>
    <xdr:to>
      <xdr:col>17</xdr:col>
      <xdr:colOff>0</xdr:colOff>
      <xdr:row>41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B2245FD-ACB3-4948-8653-4D841A9E8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155774</xdr:colOff>
      <xdr:row>30</xdr:row>
      <xdr:rowOff>22425</xdr:rowOff>
    </xdr:from>
    <xdr:to>
      <xdr:col>5</xdr:col>
      <xdr:colOff>238124</xdr:colOff>
      <xdr:row>39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Tag de Despesa">
              <a:extLst>
                <a:ext uri="{FF2B5EF4-FFF2-40B4-BE49-F238E27FC236}">
                  <a16:creationId xmlns:a16="http://schemas.microsoft.com/office/drawing/2014/main" id="{B13A75B4-C349-4822-B0DE-EC625F6024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de Despes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774" y="5766000"/>
              <a:ext cx="4073325" cy="183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Wille" refreshedDate="45314.794820717594" createdVersion="8" refreshedVersion="8" minRefreshableVersion="3" recordCount="528" xr:uid="{F399214A-5599-49D1-877F-E6653DED68C0}">
  <cacheSource type="worksheet">
    <worksheetSource name="Tabela1"/>
  </cacheSource>
  <cacheFields count="10">
    <cacheField name="Descrição" numFmtId="0">
      <sharedItems containsBlank="1" count="41">
        <s v="Aluguel"/>
        <s v="Condomínio"/>
        <s v="Luz"/>
        <s v="Internet"/>
        <s v="Posto "/>
        <s v="Pop"/>
        <s v="Hot dog"/>
        <s v="OPA Bier"/>
        <s v="Restairante"/>
        <s v="Cerveja"/>
        <s v="Lanche"/>
        <s v="Cabelo"/>
        <s v="Pizza"/>
        <s v="Cooper"/>
        <s v="Pedro"/>
        <s v="Identidade Pedro"/>
        <s v="Faculdade"/>
        <s v="Celular Iza"/>
        <s v="Tim"/>
        <s v="Havan"/>
        <s v="Uber"/>
        <s v="Padaria "/>
        <s v="Doação"/>
        <s v="Cigarro"/>
        <s v="JM Distribuidora"/>
        <s v="Toninho"/>
        <s v="Milium"/>
        <s v="Boné Pedro"/>
        <s v="Bar Garoto"/>
        <s v="Milenium"/>
        <s v="Andréia"/>
        <s v="Pagode"/>
        <s v="13º"/>
        <s v="Férias"/>
        <s v="Burger King"/>
        <s v="Presente Iza"/>
        <s v="Angeloni"/>
        <s v="Salário"/>
        <s v="Toninho (Almoço)"/>
        <m/>
        <s v="Null" u="1"/>
      </sharedItems>
    </cacheField>
    <cacheField name="Caixa" numFmtId="0">
      <sharedItems containsBlank="1" count="3">
        <s v="Despesa"/>
        <s v="Receita"/>
        <m/>
      </sharedItems>
    </cacheField>
    <cacheField name="Tag" numFmtId="0">
      <sharedItems containsBlank="1" count="9">
        <s v="Moradia"/>
        <s v="Lazer"/>
        <s v="Transporte"/>
        <s v="Beleza"/>
        <s v="Mercado"/>
        <s v="Educação"/>
        <s v="Outros"/>
        <s v="Salário"/>
        <m/>
      </sharedItems>
    </cacheField>
    <cacheField name="Categoria de despesa" numFmtId="0">
      <sharedItems count="4">
        <s v="Essencial"/>
        <s v="Não essencial"/>
        <s v="Investimento"/>
        <s v=""/>
      </sharedItems>
    </cacheField>
    <cacheField name="Forma de Pagamento" numFmtId="0">
      <sharedItems containsBlank="1"/>
    </cacheField>
    <cacheField name="Valor" numFmtId="44">
      <sharedItems containsString="0" containsBlank="1" containsNumber="1" minValue="2" maxValue="7164"/>
    </cacheField>
    <cacheField name="Data de Vencimento / Comprra" numFmtId="14">
      <sharedItems containsNonDate="0" containsDate="1" containsString="0" containsBlank="1" minDate="2023-12-01T00:00:00" maxDate="2023-12-25T00:00:00"/>
    </cacheField>
    <cacheField name="Data do Pagamento / Compra" numFmtId="14">
      <sharedItems containsNonDate="0" containsDate="1" containsString="0" containsBlank="1" minDate="2023-12-01T00:00:00" maxDate="2023-12-25T00:00:00"/>
    </cacheField>
    <cacheField name="Mês" numFmtId="14">
      <sharedItems count="2">
        <s v="dezembro"/>
        <s v=""/>
      </sharedItems>
    </cacheField>
    <cacheField name="Status" numFmtId="14">
      <sharedItems/>
    </cacheField>
  </cacheFields>
  <extLst>
    <ext xmlns:x14="http://schemas.microsoft.com/office/spreadsheetml/2009/9/main" uri="{725AE2AE-9491-48be-B2B4-4EB974FC3084}">
      <x14:pivotCacheDefinition pivotCacheId="594627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x v="0"/>
    <x v="0"/>
    <x v="0"/>
    <x v="0"/>
    <s v="Pix"/>
    <n v="950"/>
    <d v="2023-12-08T00:00:00"/>
    <d v="2023-12-08T00:00:00"/>
    <x v="0"/>
    <s v="Pago"/>
  </r>
  <r>
    <x v="1"/>
    <x v="0"/>
    <x v="0"/>
    <x v="0"/>
    <s v="Boleto"/>
    <n v="200"/>
    <d v="2023-12-10T00:00:00"/>
    <d v="2023-12-08T00:00:00"/>
    <x v="0"/>
    <s v="Pago"/>
  </r>
  <r>
    <x v="2"/>
    <x v="0"/>
    <x v="0"/>
    <x v="0"/>
    <s v="Boleto"/>
    <n v="124"/>
    <d v="2023-12-15T00:00:00"/>
    <d v="2023-12-08T00:00:00"/>
    <x v="0"/>
    <s v="Pago"/>
  </r>
  <r>
    <x v="3"/>
    <x v="0"/>
    <x v="0"/>
    <x v="0"/>
    <s v="Boleto"/>
    <n v="120"/>
    <d v="2023-12-15T00:00:00"/>
    <d v="2023-12-08T00:00:00"/>
    <x v="0"/>
    <s v="Pago"/>
  </r>
  <r>
    <x v="4"/>
    <x v="0"/>
    <x v="1"/>
    <x v="1"/>
    <s v="Débito"/>
    <n v="41"/>
    <d v="2023-12-01T00:00:00"/>
    <d v="2023-12-01T00:00:00"/>
    <x v="0"/>
    <s v="Pago"/>
  </r>
  <r>
    <x v="4"/>
    <x v="0"/>
    <x v="1"/>
    <x v="1"/>
    <s v="Débito"/>
    <n v="5.99"/>
    <d v="2023-12-01T00:00:00"/>
    <d v="2023-12-01T00:00:00"/>
    <x v="0"/>
    <s v="Pago"/>
  </r>
  <r>
    <x v="5"/>
    <x v="0"/>
    <x v="2"/>
    <x v="0"/>
    <s v="Débito"/>
    <n v="18.5"/>
    <d v="2023-12-01T00:00:00"/>
    <d v="2023-12-01T00:00:00"/>
    <x v="0"/>
    <s v="Pago"/>
  </r>
  <r>
    <x v="5"/>
    <x v="0"/>
    <x v="2"/>
    <x v="0"/>
    <s v="Débito"/>
    <n v="18.28"/>
    <d v="2023-12-01T00:00:00"/>
    <d v="2023-12-01T00:00:00"/>
    <x v="0"/>
    <s v="Pago"/>
  </r>
  <r>
    <x v="6"/>
    <x v="0"/>
    <x v="1"/>
    <x v="1"/>
    <s v="Débito"/>
    <n v="12"/>
    <d v="2023-12-01T00:00:00"/>
    <d v="2023-12-01T00:00:00"/>
    <x v="0"/>
    <s v="Pago"/>
  </r>
  <r>
    <x v="7"/>
    <x v="0"/>
    <x v="1"/>
    <x v="1"/>
    <s v="Débito"/>
    <n v="30"/>
    <d v="2023-12-04T00:00:00"/>
    <d v="2023-12-04T00:00:00"/>
    <x v="0"/>
    <s v="Pago"/>
  </r>
  <r>
    <x v="7"/>
    <x v="0"/>
    <x v="1"/>
    <x v="1"/>
    <s v="Débito"/>
    <n v="20"/>
    <d v="2023-12-04T00:00:00"/>
    <d v="2023-12-04T00:00:00"/>
    <x v="0"/>
    <s v="Pago"/>
  </r>
  <r>
    <x v="4"/>
    <x v="0"/>
    <x v="1"/>
    <x v="1"/>
    <s v="Débito"/>
    <n v="11.9"/>
    <d v="2023-12-04T00:00:00"/>
    <d v="2023-12-04T00:00:00"/>
    <x v="0"/>
    <s v="Pago"/>
  </r>
  <r>
    <x v="4"/>
    <x v="0"/>
    <x v="1"/>
    <x v="1"/>
    <s v="Débito"/>
    <n v="13.99"/>
    <d v="2023-12-04T00:00:00"/>
    <d v="2023-12-04T00:00:00"/>
    <x v="0"/>
    <s v="Pago"/>
  </r>
  <r>
    <x v="8"/>
    <x v="0"/>
    <x v="1"/>
    <x v="1"/>
    <s v="Débito"/>
    <n v="47.61"/>
    <d v="2023-12-04T00:00:00"/>
    <d v="2023-12-04T00:00:00"/>
    <x v="0"/>
    <s v="Pago"/>
  </r>
  <r>
    <x v="9"/>
    <x v="0"/>
    <x v="1"/>
    <x v="1"/>
    <s v="Débito"/>
    <n v="16"/>
    <d v="2023-12-04T00:00:00"/>
    <d v="2023-12-04T00:00:00"/>
    <x v="0"/>
    <s v="Pago"/>
  </r>
  <r>
    <x v="5"/>
    <x v="0"/>
    <x v="2"/>
    <x v="0"/>
    <s v="Débito"/>
    <n v="20.6"/>
    <d v="2023-12-04T00:00:00"/>
    <d v="2023-12-04T00:00:00"/>
    <x v="0"/>
    <s v="Pago"/>
  </r>
  <r>
    <x v="5"/>
    <x v="0"/>
    <x v="2"/>
    <x v="0"/>
    <s v="Débito"/>
    <n v="13.2"/>
    <d v="2023-12-04T00:00:00"/>
    <d v="2023-12-04T00:00:00"/>
    <x v="0"/>
    <s v="Pago"/>
  </r>
  <r>
    <x v="5"/>
    <x v="0"/>
    <x v="2"/>
    <x v="0"/>
    <s v="Débito"/>
    <n v="12.7"/>
    <d v="2023-12-04T00:00:00"/>
    <d v="2023-12-04T00:00:00"/>
    <x v="0"/>
    <s v="Pago"/>
  </r>
  <r>
    <x v="5"/>
    <x v="0"/>
    <x v="2"/>
    <x v="0"/>
    <s v="Débito"/>
    <n v="12.7"/>
    <d v="2023-12-04T00:00:00"/>
    <d v="2023-12-04T00:00:00"/>
    <x v="0"/>
    <s v="Pago"/>
  </r>
  <r>
    <x v="10"/>
    <x v="0"/>
    <x v="1"/>
    <x v="1"/>
    <s v="Débito"/>
    <n v="45"/>
    <d v="2023-12-04T00:00:00"/>
    <d v="2023-12-04T00:00:00"/>
    <x v="0"/>
    <s v="Pago"/>
  </r>
  <r>
    <x v="11"/>
    <x v="0"/>
    <x v="3"/>
    <x v="1"/>
    <s v="Débito"/>
    <n v="50"/>
    <d v="2023-12-04T00:00:00"/>
    <d v="2023-12-04T00:00:00"/>
    <x v="0"/>
    <s v="Pago"/>
  </r>
  <r>
    <x v="5"/>
    <x v="0"/>
    <x v="2"/>
    <x v="0"/>
    <s v="Débito"/>
    <n v="18.41"/>
    <d v="2023-12-05T00:00:00"/>
    <d v="2023-12-05T00:00:00"/>
    <x v="0"/>
    <s v="Pago"/>
  </r>
  <r>
    <x v="5"/>
    <x v="0"/>
    <x v="2"/>
    <x v="0"/>
    <s v="Débito"/>
    <n v="17.100000000000001"/>
    <d v="2023-12-05T00:00:00"/>
    <d v="2023-12-05T00:00:00"/>
    <x v="0"/>
    <s v="Pago"/>
  </r>
  <r>
    <x v="12"/>
    <x v="0"/>
    <x v="1"/>
    <x v="1"/>
    <s v="Débito"/>
    <n v="55"/>
    <d v="2023-12-05T00:00:00"/>
    <d v="2023-12-05T00:00:00"/>
    <x v="0"/>
    <s v="Pago"/>
  </r>
  <r>
    <x v="4"/>
    <x v="0"/>
    <x v="1"/>
    <x v="1"/>
    <s v="Débito"/>
    <n v="6"/>
    <d v="2023-12-05T00:00:00"/>
    <d v="2023-12-05T00:00:00"/>
    <x v="0"/>
    <s v="Pago"/>
  </r>
  <r>
    <x v="13"/>
    <x v="0"/>
    <x v="4"/>
    <x v="0"/>
    <s v="Débito"/>
    <n v="87"/>
    <d v="2023-12-06T00:00:00"/>
    <d v="2023-12-06T00:00:00"/>
    <x v="0"/>
    <s v="Pago"/>
  </r>
  <r>
    <x v="5"/>
    <x v="0"/>
    <x v="2"/>
    <x v="0"/>
    <s v="Débito"/>
    <n v="18.600000000000001"/>
    <d v="2023-12-06T00:00:00"/>
    <d v="2023-12-06T00:00:00"/>
    <x v="0"/>
    <s v="Pago"/>
  </r>
  <r>
    <x v="5"/>
    <x v="0"/>
    <x v="2"/>
    <x v="0"/>
    <s v="Débito"/>
    <n v="18.600000000000001"/>
    <d v="2023-12-06T00:00:00"/>
    <d v="2023-12-06T00:00:00"/>
    <x v="0"/>
    <s v="Pago"/>
  </r>
  <r>
    <x v="14"/>
    <x v="0"/>
    <x v="5"/>
    <x v="2"/>
    <s v="Débito"/>
    <n v="207"/>
    <d v="2023-12-06T00:00:00"/>
    <d v="2023-12-06T00:00:00"/>
    <x v="0"/>
    <s v="Pago"/>
  </r>
  <r>
    <x v="15"/>
    <x v="0"/>
    <x v="6"/>
    <x v="1"/>
    <s v="Débito"/>
    <n v="44"/>
    <d v="2023-12-06T00:00:00"/>
    <d v="2023-12-06T00:00:00"/>
    <x v="0"/>
    <s v="Pago"/>
  </r>
  <r>
    <x v="16"/>
    <x v="0"/>
    <x v="5"/>
    <x v="2"/>
    <s v="Débito"/>
    <n v="256"/>
    <d v="2023-12-07T00:00:00"/>
    <d v="2023-12-07T00:00:00"/>
    <x v="0"/>
    <s v="Pago"/>
  </r>
  <r>
    <x v="5"/>
    <x v="0"/>
    <x v="2"/>
    <x v="0"/>
    <s v="Débito"/>
    <n v="12.7"/>
    <d v="2023-12-07T00:00:00"/>
    <d v="2023-12-07T00:00:00"/>
    <x v="0"/>
    <s v="Pago"/>
  </r>
  <r>
    <x v="17"/>
    <x v="0"/>
    <x v="6"/>
    <x v="1"/>
    <s v="Débito"/>
    <n v="200"/>
    <d v="2023-12-07T00:00:00"/>
    <d v="2023-12-07T00:00:00"/>
    <x v="0"/>
    <s v="Pago"/>
  </r>
  <r>
    <x v="18"/>
    <x v="0"/>
    <x v="0"/>
    <x v="0"/>
    <s v="Débito"/>
    <n v="90"/>
    <d v="2023-12-07T00:00:00"/>
    <d v="2023-12-07T00:00:00"/>
    <x v="0"/>
    <s v="Pago"/>
  </r>
  <r>
    <x v="19"/>
    <x v="0"/>
    <x v="0"/>
    <x v="0"/>
    <s v="Débito"/>
    <n v="66"/>
    <d v="2023-12-07T00:00:00"/>
    <d v="2023-12-07T00:00:00"/>
    <x v="0"/>
    <s v="Pago"/>
  </r>
  <r>
    <x v="5"/>
    <x v="0"/>
    <x v="2"/>
    <x v="0"/>
    <s v="Débito"/>
    <n v="14"/>
    <d v="2023-12-08T00:00:00"/>
    <d v="2023-12-08T00:00:00"/>
    <x v="0"/>
    <s v="Pago"/>
  </r>
  <r>
    <x v="20"/>
    <x v="0"/>
    <x v="2"/>
    <x v="0"/>
    <s v="Débito"/>
    <n v="19.899999999999999"/>
    <d v="2023-12-08T00:00:00"/>
    <d v="2023-12-08T00:00:00"/>
    <x v="0"/>
    <s v="Pago"/>
  </r>
  <r>
    <x v="21"/>
    <x v="0"/>
    <x v="4"/>
    <x v="0"/>
    <s v="Débito"/>
    <n v="10"/>
    <d v="2023-12-08T00:00:00"/>
    <d v="2023-12-08T00:00:00"/>
    <x v="0"/>
    <s v="Pago"/>
  </r>
  <r>
    <x v="5"/>
    <x v="0"/>
    <x v="2"/>
    <x v="0"/>
    <s v="Débito"/>
    <n v="16"/>
    <d v="2023-12-11T00:00:00"/>
    <d v="2023-12-11T00:00:00"/>
    <x v="0"/>
    <s v="Pago"/>
  </r>
  <r>
    <x v="13"/>
    <x v="0"/>
    <x v="4"/>
    <x v="0"/>
    <s v="Débito"/>
    <n v="35"/>
    <d v="2023-12-11T00:00:00"/>
    <d v="2023-12-11T00:00:00"/>
    <x v="0"/>
    <s v="Pago"/>
  </r>
  <r>
    <x v="4"/>
    <x v="0"/>
    <x v="1"/>
    <x v="1"/>
    <s v="Débito"/>
    <n v="17"/>
    <d v="2023-12-11T00:00:00"/>
    <d v="2023-12-11T00:00:00"/>
    <x v="0"/>
    <s v="Pago"/>
  </r>
  <r>
    <x v="4"/>
    <x v="0"/>
    <x v="1"/>
    <x v="1"/>
    <s v="Débito"/>
    <n v="21"/>
    <d v="2023-12-11T00:00:00"/>
    <d v="2023-12-11T00:00:00"/>
    <x v="0"/>
    <s v="Pago"/>
  </r>
  <r>
    <x v="4"/>
    <x v="0"/>
    <x v="1"/>
    <x v="1"/>
    <s v="Débito"/>
    <n v="11"/>
    <d v="2023-12-11T00:00:00"/>
    <d v="2023-12-11T00:00:00"/>
    <x v="0"/>
    <s v="Pago"/>
  </r>
  <r>
    <x v="5"/>
    <x v="0"/>
    <x v="2"/>
    <x v="0"/>
    <s v="Débito"/>
    <n v="10.4"/>
    <d v="2023-12-11T00:00:00"/>
    <d v="2023-12-11T00:00:00"/>
    <x v="0"/>
    <s v="Pago"/>
  </r>
  <r>
    <x v="5"/>
    <x v="0"/>
    <x v="2"/>
    <x v="0"/>
    <s v="Débito"/>
    <n v="18.41"/>
    <d v="2023-12-11T00:00:00"/>
    <d v="2023-12-11T00:00:00"/>
    <x v="0"/>
    <s v="Pago"/>
  </r>
  <r>
    <x v="5"/>
    <x v="0"/>
    <x v="2"/>
    <x v="0"/>
    <s v="Débito"/>
    <n v="9.6"/>
    <d v="2023-12-11T00:00:00"/>
    <d v="2023-12-11T00:00:00"/>
    <x v="0"/>
    <s v="Pago"/>
  </r>
  <r>
    <x v="22"/>
    <x v="0"/>
    <x v="6"/>
    <x v="1"/>
    <s v="Débito"/>
    <n v="10"/>
    <d v="2023-12-11T00:00:00"/>
    <d v="2023-12-11T00:00:00"/>
    <x v="0"/>
    <s v="Pago"/>
  </r>
  <r>
    <x v="4"/>
    <x v="0"/>
    <x v="1"/>
    <x v="1"/>
    <s v="Débito"/>
    <n v="11.97"/>
    <d v="2023-12-11T00:00:00"/>
    <d v="2023-12-11T00:00:00"/>
    <x v="0"/>
    <s v="Pago"/>
  </r>
  <r>
    <x v="13"/>
    <x v="0"/>
    <x v="4"/>
    <x v="0"/>
    <s v="Débito"/>
    <n v="25.23"/>
    <d v="2023-12-12T00:00:00"/>
    <d v="2023-12-12T00:00:00"/>
    <x v="0"/>
    <s v="Pago"/>
  </r>
  <r>
    <x v="5"/>
    <x v="0"/>
    <x v="2"/>
    <x v="0"/>
    <s v="Débito"/>
    <n v="13.3"/>
    <d v="2023-12-12T00:00:00"/>
    <d v="2023-12-12T00:00:00"/>
    <x v="0"/>
    <s v="Pago"/>
  </r>
  <r>
    <x v="5"/>
    <x v="0"/>
    <x v="2"/>
    <x v="0"/>
    <s v="Débito"/>
    <n v="14.8"/>
    <d v="2023-12-12T00:00:00"/>
    <d v="2023-12-12T00:00:00"/>
    <x v="0"/>
    <s v="Pago"/>
  </r>
  <r>
    <x v="23"/>
    <x v="0"/>
    <x v="1"/>
    <x v="1"/>
    <s v="Débito"/>
    <n v="2"/>
    <d v="2023-12-13T00:00:00"/>
    <d v="2023-12-13T00:00:00"/>
    <x v="0"/>
    <s v="Pago"/>
  </r>
  <r>
    <x v="4"/>
    <x v="0"/>
    <x v="1"/>
    <x v="1"/>
    <s v="Débito"/>
    <n v="7.98"/>
    <d v="2023-12-13T00:00:00"/>
    <d v="2023-12-13T00:00:00"/>
    <x v="0"/>
    <s v="Pago"/>
  </r>
  <r>
    <x v="24"/>
    <x v="0"/>
    <x v="1"/>
    <x v="1"/>
    <s v="Débito"/>
    <n v="20"/>
    <d v="2023-12-13T00:00:00"/>
    <d v="2023-12-13T00:00:00"/>
    <x v="0"/>
    <s v="Pago"/>
  </r>
  <r>
    <x v="5"/>
    <x v="0"/>
    <x v="2"/>
    <x v="0"/>
    <s v="Débito"/>
    <n v="13.1"/>
    <d v="2023-12-13T00:00:00"/>
    <d v="2023-12-13T00:00:00"/>
    <x v="0"/>
    <s v="Pago"/>
  </r>
  <r>
    <x v="5"/>
    <x v="0"/>
    <x v="2"/>
    <x v="0"/>
    <s v="Débito"/>
    <n v="13.2"/>
    <d v="2023-12-13T00:00:00"/>
    <d v="2023-12-13T00:00:00"/>
    <x v="0"/>
    <s v="Pago"/>
  </r>
  <r>
    <x v="5"/>
    <x v="0"/>
    <x v="2"/>
    <x v="0"/>
    <s v="Débito"/>
    <n v="11.9"/>
    <d v="2023-12-14T00:00:00"/>
    <d v="2023-12-14T00:00:00"/>
    <x v="0"/>
    <s v="Pago"/>
  </r>
  <r>
    <x v="5"/>
    <x v="0"/>
    <x v="2"/>
    <x v="0"/>
    <s v="Débito"/>
    <n v="12.7"/>
    <d v="2023-12-14T00:00:00"/>
    <d v="2023-12-14T00:00:00"/>
    <x v="0"/>
    <s v="Pago"/>
  </r>
  <r>
    <x v="4"/>
    <x v="0"/>
    <x v="1"/>
    <x v="1"/>
    <s v="Débito"/>
    <n v="21.68"/>
    <d v="2023-12-15T00:00:00"/>
    <d v="2023-12-15T00:00:00"/>
    <x v="0"/>
    <s v="Pago"/>
  </r>
  <r>
    <x v="5"/>
    <x v="0"/>
    <x v="2"/>
    <x v="0"/>
    <s v="Débito"/>
    <n v="16.399999999999999"/>
    <d v="2023-12-15T00:00:00"/>
    <d v="2023-12-15T00:00:00"/>
    <x v="0"/>
    <s v="Pago"/>
  </r>
  <r>
    <x v="5"/>
    <x v="0"/>
    <x v="2"/>
    <x v="0"/>
    <s v="Débito"/>
    <n v="12.8"/>
    <d v="2023-12-15T00:00:00"/>
    <d v="2023-12-15T00:00:00"/>
    <x v="0"/>
    <s v="Pago"/>
  </r>
  <r>
    <x v="25"/>
    <x v="0"/>
    <x v="6"/>
    <x v="1"/>
    <s v="Débito"/>
    <n v="16"/>
    <d v="2023-12-15T00:00:00"/>
    <d v="2023-12-15T00:00:00"/>
    <x v="0"/>
    <s v="Pago"/>
  </r>
  <r>
    <x v="26"/>
    <x v="0"/>
    <x v="6"/>
    <x v="1"/>
    <s v="Débito"/>
    <n v="12.5"/>
    <d v="2023-12-18T00:00:00"/>
    <d v="2023-12-18T00:00:00"/>
    <x v="0"/>
    <s v="Pago"/>
  </r>
  <r>
    <x v="27"/>
    <x v="0"/>
    <x v="6"/>
    <x v="1"/>
    <s v="Débito"/>
    <n v="47.8"/>
    <d v="2023-12-18T00:00:00"/>
    <d v="2023-12-18T00:00:00"/>
    <x v="0"/>
    <s v="Pago"/>
  </r>
  <r>
    <x v="6"/>
    <x v="0"/>
    <x v="1"/>
    <x v="1"/>
    <s v="Débito"/>
    <n v="12"/>
    <d v="2023-12-18T00:00:00"/>
    <d v="2023-12-18T00:00:00"/>
    <x v="0"/>
    <s v="Pago"/>
  </r>
  <r>
    <x v="4"/>
    <x v="0"/>
    <x v="1"/>
    <x v="1"/>
    <s v="Débito"/>
    <n v="23.95"/>
    <d v="2023-12-18T00:00:00"/>
    <d v="2023-12-18T00:00:00"/>
    <x v="0"/>
    <s v="Pago"/>
  </r>
  <r>
    <x v="4"/>
    <x v="0"/>
    <x v="1"/>
    <x v="1"/>
    <s v="Débito"/>
    <n v="13.99"/>
    <d v="2023-12-18T00:00:00"/>
    <d v="2023-12-18T00:00:00"/>
    <x v="0"/>
    <s v="Pago"/>
  </r>
  <r>
    <x v="4"/>
    <x v="0"/>
    <x v="1"/>
    <x v="1"/>
    <s v="Débito"/>
    <n v="7.98"/>
    <d v="2023-12-18T00:00:00"/>
    <d v="2023-12-18T00:00:00"/>
    <x v="0"/>
    <s v="Pago"/>
  </r>
  <r>
    <x v="4"/>
    <x v="0"/>
    <x v="1"/>
    <x v="1"/>
    <s v="Débito"/>
    <n v="15.96"/>
    <d v="2023-12-18T00:00:00"/>
    <d v="2023-12-18T00:00:00"/>
    <x v="0"/>
    <s v="Pago"/>
  </r>
  <r>
    <x v="4"/>
    <x v="0"/>
    <x v="1"/>
    <x v="1"/>
    <s v="Débito"/>
    <n v="4.45"/>
    <d v="2023-12-18T00:00:00"/>
    <d v="2023-12-18T00:00:00"/>
    <x v="0"/>
    <s v="Pago"/>
  </r>
  <r>
    <x v="20"/>
    <x v="0"/>
    <x v="2"/>
    <x v="0"/>
    <s v="Débito"/>
    <n v="14.97"/>
    <d v="2023-12-18T00:00:00"/>
    <d v="2023-12-18T00:00:00"/>
    <x v="0"/>
    <s v="Pago"/>
  </r>
  <r>
    <x v="13"/>
    <x v="0"/>
    <x v="4"/>
    <x v="0"/>
    <s v="Débito"/>
    <n v="51.84"/>
    <d v="2023-12-18T00:00:00"/>
    <d v="2023-12-18T00:00:00"/>
    <x v="0"/>
    <s v="Pago"/>
  </r>
  <r>
    <x v="5"/>
    <x v="0"/>
    <x v="2"/>
    <x v="0"/>
    <s v="Débito"/>
    <n v="11.6"/>
    <d v="2023-12-18T00:00:00"/>
    <d v="2023-12-18T00:00:00"/>
    <x v="0"/>
    <s v="Pago"/>
  </r>
  <r>
    <x v="5"/>
    <x v="0"/>
    <x v="2"/>
    <x v="0"/>
    <s v="Débito"/>
    <n v="10.9"/>
    <d v="2023-12-18T00:00:00"/>
    <d v="2023-12-18T00:00:00"/>
    <x v="0"/>
    <s v="Pago"/>
  </r>
  <r>
    <x v="5"/>
    <x v="0"/>
    <x v="2"/>
    <x v="0"/>
    <s v="Débito"/>
    <n v="13.2"/>
    <d v="2023-12-18T00:00:00"/>
    <d v="2023-12-18T00:00:00"/>
    <x v="0"/>
    <s v="Pago"/>
  </r>
  <r>
    <x v="5"/>
    <x v="0"/>
    <x v="2"/>
    <x v="0"/>
    <s v="Débito"/>
    <n v="17.100000000000001"/>
    <d v="2023-12-18T00:00:00"/>
    <d v="2023-12-18T00:00:00"/>
    <x v="0"/>
    <s v="Pago"/>
  </r>
  <r>
    <x v="28"/>
    <x v="0"/>
    <x v="1"/>
    <x v="1"/>
    <s v="Débito"/>
    <n v="26"/>
    <d v="2023-12-18T00:00:00"/>
    <d v="2023-12-18T00:00:00"/>
    <x v="0"/>
    <s v="Pago"/>
  </r>
  <r>
    <x v="29"/>
    <x v="0"/>
    <x v="1"/>
    <x v="1"/>
    <s v="Débito"/>
    <n v="19.5"/>
    <d v="2023-12-18T00:00:00"/>
    <d v="2023-12-18T00:00:00"/>
    <x v="0"/>
    <s v="Pago"/>
  </r>
  <r>
    <x v="4"/>
    <x v="0"/>
    <x v="1"/>
    <x v="1"/>
    <s v="Débito"/>
    <n v="12"/>
    <d v="2023-12-18T00:00:00"/>
    <d v="2023-12-18T00:00:00"/>
    <x v="0"/>
    <s v="Pago"/>
  </r>
  <r>
    <x v="30"/>
    <x v="0"/>
    <x v="6"/>
    <x v="1"/>
    <s v="Débito"/>
    <n v="12"/>
    <d v="2023-12-18T00:00:00"/>
    <d v="2023-12-18T00:00:00"/>
    <x v="0"/>
    <s v="Pago"/>
  </r>
  <r>
    <x v="5"/>
    <x v="0"/>
    <x v="2"/>
    <x v="0"/>
    <s v="Débito"/>
    <n v="24.8"/>
    <d v="2023-12-20T00:00:00"/>
    <d v="2023-12-20T00:00:00"/>
    <x v="0"/>
    <s v="Pago"/>
  </r>
  <r>
    <x v="5"/>
    <x v="0"/>
    <x v="2"/>
    <x v="0"/>
    <s v="Débito"/>
    <n v="12.8"/>
    <d v="2023-12-20T00:00:00"/>
    <d v="2023-12-20T00:00:00"/>
    <x v="0"/>
    <s v="Pago"/>
  </r>
  <r>
    <x v="4"/>
    <x v="0"/>
    <x v="1"/>
    <x v="1"/>
    <s v="Débito"/>
    <n v="18.97"/>
    <d v="2023-12-20T00:00:00"/>
    <d v="2023-12-20T00:00:00"/>
    <x v="0"/>
    <s v="Pago"/>
  </r>
  <r>
    <x v="31"/>
    <x v="1"/>
    <x v="7"/>
    <x v="3"/>
    <s v="Next"/>
    <n v="2262"/>
    <m/>
    <m/>
    <x v="1"/>
    <s v="Recebido"/>
  </r>
  <r>
    <x v="32"/>
    <x v="1"/>
    <x v="7"/>
    <x v="3"/>
    <s v="Next"/>
    <n v="1752"/>
    <m/>
    <m/>
    <x v="1"/>
    <s v="Recebido"/>
  </r>
  <r>
    <x v="31"/>
    <x v="1"/>
    <x v="7"/>
    <x v="3"/>
    <s v="Next"/>
    <n v="500"/>
    <m/>
    <m/>
    <x v="1"/>
    <s v="Recebido"/>
  </r>
  <r>
    <x v="33"/>
    <x v="1"/>
    <x v="7"/>
    <x v="3"/>
    <s v="Next"/>
    <n v="7164"/>
    <m/>
    <m/>
    <x v="1"/>
    <s v="Recebido"/>
  </r>
  <r>
    <x v="5"/>
    <x v="0"/>
    <x v="2"/>
    <x v="0"/>
    <s v="Débito"/>
    <n v="13.6"/>
    <d v="2023-12-21T00:00:00"/>
    <d v="2023-12-21T00:00:00"/>
    <x v="0"/>
    <s v="Pago"/>
  </r>
  <r>
    <x v="4"/>
    <x v="0"/>
    <x v="1"/>
    <x v="1"/>
    <s v="Débito"/>
    <n v="29.96"/>
    <d v="2023-12-21T00:00:00"/>
    <d v="2023-12-21T00:00:00"/>
    <x v="0"/>
    <s v="Pago"/>
  </r>
  <r>
    <x v="13"/>
    <x v="0"/>
    <x v="4"/>
    <x v="0"/>
    <s v="Débito"/>
    <n v="11.56"/>
    <d v="2023-12-21T00:00:00"/>
    <d v="2023-12-21T00:00:00"/>
    <x v="0"/>
    <s v="Pago"/>
  </r>
  <r>
    <x v="13"/>
    <x v="0"/>
    <x v="4"/>
    <x v="0"/>
    <s v="Débito"/>
    <n v="68.06"/>
    <d v="2023-12-21T00:00:00"/>
    <d v="2023-12-21T00:00:00"/>
    <x v="0"/>
    <s v="Pago"/>
  </r>
  <r>
    <x v="13"/>
    <x v="0"/>
    <x v="4"/>
    <x v="0"/>
    <s v="Débito"/>
    <n v="6.39"/>
    <d v="2023-12-21T00:00:00"/>
    <d v="2023-12-21T00:00:00"/>
    <x v="0"/>
    <s v="Pago"/>
  </r>
  <r>
    <x v="5"/>
    <x v="0"/>
    <x v="2"/>
    <x v="0"/>
    <s v="Débito"/>
    <n v="12.7"/>
    <d v="2023-12-21T00:00:00"/>
    <d v="2023-12-21T00:00:00"/>
    <x v="0"/>
    <s v="Pago"/>
  </r>
  <r>
    <x v="25"/>
    <x v="0"/>
    <x v="1"/>
    <x v="1"/>
    <s v="Débito"/>
    <n v="18"/>
    <d v="2023-12-21T00:00:00"/>
    <d v="2023-12-21T00:00:00"/>
    <x v="0"/>
    <s v="Pago"/>
  </r>
  <r>
    <x v="34"/>
    <x v="0"/>
    <x v="1"/>
    <x v="1"/>
    <s v="Débito"/>
    <n v="4.5"/>
    <d v="2023-12-21T00:00:00"/>
    <d v="2023-12-21T00:00:00"/>
    <x v="0"/>
    <s v="Pago"/>
  </r>
  <r>
    <x v="5"/>
    <x v="0"/>
    <x v="2"/>
    <x v="0"/>
    <s v="Débito"/>
    <n v="18.12"/>
    <d v="2023-12-21T00:00:00"/>
    <d v="2023-12-21T00:00:00"/>
    <x v="0"/>
    <s v="Pago"/>
  </r>
  <r>
    <x v="20"/>
    <x v="0"/>
    <x v="2"/>
    <x v="0"/>
    <s v="Débito"/>
    <n v="22.5"/>
    <d v="2023-12-21T00:00:00"/>
    <d v="2023-12-21T00:00:00"/>
    <x v="0"/>
    <s v="Pago"/>
  </r>
  <r>
    <x v="35"/>
    <x v="0"/>
    <x v="6"/>
    <x v="1"/>
    <s v="Débito"/>
    <n v="60"/>
    <d v="2023-12-21T00:00:00"/>
    <d v="2023-12-21T00:00:00"/>
    <x v="0"/>
    <s v="Pago"/>
  </r>
  <r>
    <x v="13"/>
    <x v="0"/>
    <x v="4"/>
    <x v="0"/>
    <s v="Débito"/>
    <n v="55.82"/>
    <d v="2023-12-21T00:00:00"/>
    <d v="2023-12-21T00:00:00"/>
    <x v="0"/>
    <s v="Pago"/>
  </r>
  <r>
    <x v="4"/>
    <x v="0"/>
    <x v="1"/>
    <x v="1"/>
    <s v="Débito"/>
    <n v="41.44"/>
    <d v="2023-12-21T00:00:00"/>
    <d v="2023-12-21T00:00:00"/>
    <x v="0"/>
    <s v="Pago"/>
  </r>
  <r>
    <x v="11"/>
    <x v="0"/>
    <x v="3"/>
    <x v="1"/>
    <s v="Pix"/>
    <n v="100"/>
    <d v="2023-12-21T00:00:00"/>
    <d v="2023-12-21T00:00:00"/>
    <x v="0"/>
    <s v="Pago"/>
  </r>
  <r>
    <x v="4"/>
    <x v="0"/>
    <x v="1"/>
    <x v="1"/>
    <s v="Débito"/>
    <n v="59.88"/>
    <d v="2023-12-21T00:00:00"/>
    <d v="2023-12-21T00:00:00"/>
    <x v="0"/>
    <s v="Pago"/>
  </r>
  <r>
    <x v="12"/>
    <x v="0"/>
    <x v="1"/>
    <x v="1"/>
    <s v="Débito"/>
    <n v="95"/>
    <d v="2023-12-21T00:00:00"/>
    <d v="2023-12-21T00:00:00"/>
    <x v="0"/>
    <s v="Pago"/>
  </r>
  <r>
    <x v="36"/>
    <x v="0"/>
    <x v="4"/>
    <x v="0"/>
    <s v="Débito"/>
    <n v="201.17"/>
    <d v="2023-12-21T00:00:00"/>
    <d v="2023-12-21T00:00:00"/>
    <x v="0"/>
    <s v="Pago"/>
  </r>
  <r>
    <x v="36"/>
    <x v="0"/>
    <x v="4"/>
    <x v="0"/>
    <s v="Débito"/>
    <n v="17"/>
    <d v="2023-12-21T00:00:00"/>
    <d v="2023-12-21T00:00:00"/>
    <x v="0"/>
    <s v="Pago"/>
  </r>
  <r>
    <x v="37"/>
    <x v="1"/>
    <x v="7"/>
    <x v="3"/>
    <s v="Next"/>
    <n v="714.84"/>
    <m/>
    <m/>
    <x v="1"/>
    <s v="Recebido"/>
  </r>
  <r>
    <x v="38"/>
    <x v="0"/>
    <x v="4"/>
    <x v="0"/>
    <s v="Débito"/>
    <n v="58"/>
    <d v="2023-12-24T00:00:00"/>
    <d v="2023-12-24T00:00:00"/>
    <x v="0"/>
    <s v="Pago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  <r>
    <x v="39"/>
    <x v="2"/>
    <x v="8"/>
    <x v="3"/>
    <m/>
    <m/>
    <m/>
    <m/>
    <x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0BED5-9C1B-479A-BFE8-3D04132B5193}" name="Tabela dinâmica5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L4:M7" firstHeaderRow="1" firstDataRow="1" firstDataCol="1" rowPageCount="1" colPageCount="1"/>
  <pivotFields count="10">
    <pivotField axis="axisRow" showAll="0" sortType="descending">
      <items count="42">
        <item x="32"/>
        <item x="0"/>
        <item x="30"/>
        <item x="36"/>
        <item x="28"/>
        <item x="27"/>
        <item x="34"/>
        <item x="11"/>
        <item x="17"/>
        <item x="9"/>
        <item x="23"/>
        <item x="1"/>
        <item x="13"/>
        <item x="22"/>
        <item x="16"/>
        <item x="33"/>
        <item x="19"/>
        <item x="6"/>
        <item x="15"/>
        <item x="3"/>
        <item x="24"/>
        <item x="10"/>
        <item x="2"/>
        <item x="29"/>
        <item x="26"/>
        <item m="1" x="40"/>
        <item x="7"/>
        <item x="21"/>
        <item x="31"/>
        <item x="14"/>
        <item x="12"/>
        <item x="5"/>
        <item x="4"/>
        <item x="35"/>
        <item x="8"/>
        <item x="37"/>
        <item x="18"/>
        <item x="25"/>
        <item x="38"/>
        <item x="20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0">
        <item x="3"/>
        <item h="1" x="5"/>
        <item h="1" x="1"/>
        <item h="1" x="4"/>
        <item h="1" x="0"/>
        <item h="1" x="6"/>
        <item h="1" x="7"/>
        <item h="1" x="2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multipleItemSelectionAllowed="1" showAll="0"/>
  </pivotFields>
  <rowFields count="2">
    <field x="3"/>
    <field x="0"/>
  </rowFields>
  <rowItems count="3">
    <i>
      <x v="3"/>
    </i>
    <i r="1">
      <x v="7"/>
    </i>
    <i t="grand">
      <x/>
    </i>
  </rowItems>
  <colItems count="1">
    <i/>
  </colItems>
  <pageFields count="1">
    <pageField fld="8" hier="-1"/>
  </pageFields>
  <dataFields count="1">
    <dataField name="Soma de Valor" fld="5" baseField="0" baseItem="22" numFmtId="164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BB09-D395-4FFF-8856-355101D599F3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I4:J8" firstHeaderRow="1" firstDataRow="1" firstDataCol="1" rowPageCount="1" colPageCount="1"/>
  <pivotFields count="10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h="1"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multipleItemSelectionAllowed="1"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oma de Valor" fld="5" baseField="3" baseItem="2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8F77-BFC4-4DFD-8CA1-3A721122F59C}" name="Tabela dinâmica4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4:G7" firstHeaderRow="1" firstDataRow="1" firstDataCol="1" rowPageCount="1" colPageCount="1"/>
  <pivotFields count="10">
    <pivotField showAll="0"/>
    <pivotField axis="axisRow" showAll="0">
      <items count="4">
        <item x="0"/>
        <item x="1"/>
        <item h="1"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multipleItemSelectionAllowe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8" hier="-1"/>
  </pageFields>
  <dataFields count="1">
    <dataField name="Soma de Valor" fld="5" baseField="0" baseItem="0"/>
  </dataFields>
  <formats count="1">
    <format dxfId="14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5F00F-21BE-42D5-80B1-361A4CC032B7}" name="Tabela dinâmica3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:C12" firstHeaderRow="1" firstDataRow="1" firstDataCol="1" rowPageCount="1" colPageCount="1"/>
  <pivotFields count="10">
    <pivotField showAll="0"/>
    <pivotField showAll="0"/>
    <pivotField axis="axisRow" showAll="0" sortType="descending">
      <items count="10">
        <item x="3"/>
        <item x="5"/>
        <item x="1"/>
        <item x="4"/>
        <item x="0"/>
        <item x="6"/>
        <item h="1" x="7"/>
        <item x="2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multipleItemSelectionAllowed="1" showAll="0"/>
  </pivotFields>
  <rowFields count="1">
    <field x="2"/>
  </rowFields>
  <rowItems count="8">
    <i>
      <x v="4"/>
    </i>
    <i>
      <x v="2"/>
    </i>
    <i>
      <x v="3"/>
    </i>
    <i>
      <x v="7"/>
    </i>
    <i>
      <x v="1"/>
    </i>
    <i>
      <x v="5"/>
    </i>
    <i>
      <x/>
    </i>
    <i t="grand">
      <x/>
    </i>
  </rowItems>
  <colItems count="1">
    <i/>
  </colItems>
  <pageFields count="1">
    <pageField fld="8" hier="-1"/>
  </pageFields>
  <dataFields count="1">
    <dataField name="Soma de Valor" fld="5" baseField="2" baseItem="6" numFmtId="164"/>
  </dataFields>
  <formats count="2">
    <format dxfId="13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7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AA7CB69D-3113-4134-A435-B80542B02405}" sourceName="Mês">
  <pivotTables>
    <pivotTable tabId="7" name="Tabela dinâmica3"/>
    <pivotTable tabId="7" name="Tabela dinâmica1"/>
    <pivotTable tabId="7" name="Tabela dinâmica4"/>
    <pivotTable tabId="7" name="Tabela dinâmica5"/>
  </pivotTables>
  <data>
    <tabular pivotCacheId="594627887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g" xr10:uid="{DA4C5AE3-7F4C-4245-8A27-8B806368DC72}" sourceName="Tag">
  <pivotTables>
    <pivotTable tabId="7" name="Tabela dinâmica5"/>
  </pivotTables>
  <data>
    <tabular pivotCacheId="594627887">
      <items count="9">
        <i x="3" s="1"/>
        <i x="5"/>
        <i x="1"/>
        <i x="4"/>
        <i x="0"/>
        <i x="6"/>
        <i x="7"/>
        <i x="2"/>
        <i x="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DDEB237-E2D2-42FC-BC1D-90701CE23578}" cache="SegmentaçãodeDados_Mês" caption="Mês" columnCount="12" style="SlicerStyleDark5" rowHeight="252000"/>
  <slicer name="Tag de Despesa" xr10:uid="{C6E6CE57-1AB4-4EF8-A3C5-042E7DE81FDA}" cache="SegmentaçãodeDados_Tag" caption="Categorias (Descrição)" columnCount="2" style="SlicerStyleDark5" rowHeight="32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82002-9DA6-488B-B6DC-052A41251F06}" name="Tabela1" displayName="Tabela1" ref="A3:J531" headerRowDxfId="40" dataDxfId="38" totalsRowDxfId="36" headerRowBorderDxfId="39" tableBorderDxfId="37" totalsRowBorderDxfId="35" headerRowCellStyle="Moeda">
  <tableColumns count="10">
    <tableColumn id="1" xr3:uid="{D8FF1878-FA60-4534-9887-9D94A383BFA6}" name="Descrição" totalsRowLabel="Total" dataDxfId="34" totalsRowDxfId="33"/>
    <tableColumn id="2" xr3:uid="{21F6DE5C-95A6-4DCB-B4E9-9264D7D36ECC}" name="Caixa" dataDxfId="32" totalsRowDxfId="31"/>
    <tableColumn id="3" xr3:uid="{9B97E8D7-22CF-4EAE-81CF-0A8654BD64DB}" name="Tag" dataDxfId="30" totalsRowDxfId="29"/>
    <tableColumn id="11" xr3:uid="{9BCF7E57-E9AC-45C6-8CB9-6FC2AF5BCAD5}" name="Categoria de despesa" dataDxfId="15" totalsRowDxfId="16">
      <calculatedColumnFormula>IFERROR(VLOOKUP(Tabela1[[#This Row],[Tag]],TAGS!$J$1:$K$9,2,0),"")</calculatedColumnFormula>
    </tableColumn>
    <tableColumn id="4" xr3:uid="{AB9E5985-8EB0-4381-8CAF-B005B326D423}" name="Forma de Pagamento" dataDxfId="28" totalsRowDxfId="27"/>
    <tableColumn id="5" xr3:uid="{F6C91037-DABD-4630-A0BE-186E4F5C103E}" name="Valor" dataDxfId="26" totalsRowDxfId="25" dataCellStyle="Moeda"/>
    <tableColumn id="6" xr3:uid="{0493E43D-9015-476B-A8B0-5C39456CD939}" name="Data de Vencimento / Comprra" dataDxfId="24" totalsRowDxfId="23"/>
    <tableColumn id="7" xr3:uid="{953B7FC5-B863-4081-9A64-83375F17F4BA}" name="Data do Pagamento / Compra" dataDxfId="22" totalsRowDxfId="21"/>
    <tableColumn id="8" xr3:uid="{EB33D579-4A02-4061-9B36-2EEADF14731F}" name="Mês" dataDxfId="20" totalsRowDxfId="19">
      <calculatedColumnFormula>IF(G4="","",TEXT(G4,"mmmm"))</calculatedColumnFormula>
    </tableColumn>
    <tableColumn id="9" xr3:uid="{5A80CC4C-2DA0-42D7-BEBD-C0D91D204EC8}" name="Status" totalsRowFunction="count" dataDxfId="18" totalsRowDxfId="17">
      <calculatedColumnFormula>IF(Tabela1[[#This Row],[Caixa]]="Receita","Recebido",IF(G4="","",IF(H4="","",IF(H4&gt;G4,"Pago atrasado",IF(H4&lt;=G4,"Pago","Aguardando")))))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5E2A-6BC2-4336-8354-936127C928CE}">
  <dimension ref="B9:G9"/>
  <sheetViews>
    <sheetView showGridLines="0" tabSelected="1" workbookViewId="0">
      <selection activeCell="T21" sqref="T21"/>
    </sheetView>
  </sheetViews>
  <sheetFormatPr defaultRowHeight="15" x14ac:dyDescent="0.25"/>
  <cols>
    <col min="3" max="3" width="15.140625" bestFit="1" customWidth="1"/>
    <col min="4" max="4" width="11.28515625" bestFit="1" customWidth="1"/>
    <col min="5" max="5" width="15.140625" bestFit="1" customWidth="1"/>
    <col min="7" max="7" width="16.42578125" bestFit="1" customWidth="1"/>
  </cols>
  <sheetData>
    <row r="9" spans="2:7" ht="17.25" x14ac:dyDescent="0.3">
      <c r="B9" s="42" t="s">
        <v>68</v>
      </c>
      <c r="C9" s="43">
        <f>G9-E9</f>
        <v>7829.5800000000008</v>
      </c>
      <c r="D9" s="44" t="s">
        <v>74</v>
      </c>
      <c r="E9" s="45">
        <f>GETPIVOTDATA("Valor",TABELAS!$F$4,"Caixa","Despesa")</f>
        <v>4563.2599999999993</v>
      </c>
      <c r="F9" s="46" t="s">
        <v>69</v>
      </c>
      <c r="G9" s="47">
        <f>GETPIVOTDATA("Valor",TABELAS!$F$4,"Caixa","Receita")</f>
        <v>12392.84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AFA8-C0E8-42B2-9E05-9F80CB19B49C}">
  <dimension ref="B2:M45"/>
  <sheetViews>
    <sheetView workbookViewId="0">
      <selection activeCell="B4" sqref="B4"/>
    </sheetView>
  </sheetViews>
  <sheetFormatPr defaultRowHeight="15" x14ac:dyDescent="0.25"/>
  <cols>
    <col min="2" max="2" width="18" bestFit="1" customWidth="1"/>
    <col min="3" max="3" width="13.85546875" style="50" bestFit="1" customWidth="1"/>
    <col min="6" max="6" width="18" bestFit="1" customWidth="1"/>
    <col min="7" max="7" width="13.85546875" bestFit="1" customWidth="1"/>
    <col min="9" max="9" width="18" bestFit="1" customWidth="1"/>
    <col min="10" max="10" width="13.85546875" style="50" bestFit="1" customWidth="1"/>
    <col min="12" max="12" width="18" bestFit="1" customWidth="1"/>
    <col min="13" max="13" width="13.85546875" style="50" bestFit="1" customWidth="1"/>
    <col min="14" max="14" width="12.85546875" bestFit="1" customWidth="1"/>
    <col min="15" max="15" width="13.28515625" bestFit="1" customWidth="1"/>
    <col min="16" max="17" width="10.7109375" bestFit="1" customWidth="1"/>
  </cols>
  <sheetData>
    <row r="2" spans="2:13" x14ac:dyDescent="0.25">
      <c r="B2" s="1" t="s">
        <v>52</v>
      </c>
      <c r="C2" t="s">
        <v>73</v>
      </c>
      <c r="F2" s="1" t="s">
        <v>52</v>
      </c>
      <c r="G2" t="s">
        <v>73</v>
      </c>
      <c r="I2" s="1" t="s">
        <v>52</v>
      </c>
      <c r="J2" t="s">
        <v>73</v>
      </c>
      <c r="L2" s="1" t="s">
        <v>52</v>
      </c>
      <c r="M2" t="s">
        <v>73</v>
      </c>
    </row>
    <row r="4" spans="2:13" x14ac:dyDescent="0.25">
      <c r="B4" s="1" t="s">
        <v>9</v>
      </c>
      <c r="C4" t="s">
        <v>72</v>
      </c>
      <c r="F4" s="1" t="s">
        <v>9</v>
      </c>
      <c r="G4" t="s">
        <v>72</v>
      </c>
      <c r="I4" s="1" t="s">
        <v>9</v>
      </c>
      <c r="J4" t="s">
        <v>72</v>
      </c>
      <c r="L4" s="1" t="s">
        <v>9</v>
      </c>
      <c r="M4" t="s">
        <v>72</v>
      </c>
    </row>
    <row r="5" spans="2:13" x14ac:dyDescent="0.25">
      <c r="B5" s="2" t="s">
        <v>11</v>
      </c>
      <c r="C5" s="51">
        <v>1550</v>
      </c>
      <c r="F5" s="2" t="s">
        <v>55</v>
      </c>
      <c r="G5" s="3">
        <v>4563.2599999999993</v>
      </c>
      <c r="I5" s="2" t="s">
        <v>79</v>
      </c>
      <c r="J5" s="51">
        <v>2727.2599999999998</v>
      </c>
      <c r="L5" s="2" t="s">
        <v>80</v>
      </c>
      <c r="M5" s="51">
        <v>150</v>
      </c>
    </row>
    <row r="6" spans="2:13" x14ac:dyDescent="0.25">
      <c r="B6" s="2" t="s">
        <v>15</v>
      </c>
      <c r="C6" s="51">
        <v>820.70000000000016</v>
      </c>
      <c r="F6" s="2" t="s">
        <v>54</v>
      </c>
      <c r="G6" s="3">
        <v>12392.84</v>
      </c>
      <c r="I6" s="2" t="s">
        <v>77</v>
      </c>
      <c r="J6" s="51">
        <v>463</v>
      </c>
      <c r="L6" s="41" t="s">
        <v>27</v>
      </c>
      <c r="M6" s="51">
        <v>150</v>
      </c>
    </row>
    <row r="7" spans="2:13" x14ac:dyDescent="0.25">
      <c r="B7" s="2" t="s">
        <v>13</v>
      </c>
      <c r="C7" s="51">
        <v>627.07000000000005</v>
      </c>
      <c r="F7" s="2" t="s">
        <v>10</v>
      </c>
      <c r="G7" s="49">
        <v>16956.099999999999</v>
      </c>
      <c r="I7" s="2" t="s">
        <v>80</v>
      </c>
      <c r="J7" s="51">
        <v>1373.0000000000005</v>
      </c>
      <c r="L7" s="2" t="s">
        <v>10</v>
      </c>
      <c r="M7" s="51">
        <v>150</v>
      </c>
    </row>
    <row r="8" spans="2:13" x14ac:dyDescent="0.25">
      <c r="B8" s="2" t="s">
        <v>14</v>
      </c>
      <c r="C8" s="51">
        <v>550.19000000000005</v>
      </c>
      <c r="I8" s="2" t="s">
        <v>10</v>
      </c>
      <c r="J8" s="51">
        <v>4563.26</v>
      </c>
      <c r="M8"/>
    </row>
    <row r="9" spans="2:13" x14ac:dyDescent="0.25">
      <c r="B9" s="2" t="s">
        <v>32</v>
      </c>
      <c r="C9" s="51">
        <v>463</v>
      </c>
      <c r="M9"/>
    </row>
    <row r="10" spans="2:13" x14ac:dyDescent="0.25">
      <c r="B10" s="2" t="s">
        <v>35</v>
      </c>
      <c r="C10" s="51">
        <v>402.3</v>
      </c>
      <c r="M10"/>
    </row>
    <row r="11" spans="2:13" x14ac:dyDescent="0.25">
      <c r="B11" s="2" t="s">
        <v>28</v>
      </c>
      <c r="C11" s="51">
        <v>150</v>
      </c>
      <c r="M11"/>
    </row>
    <row r="12" spans="2:13" x14ac:dyDescent="0.25">
      <c r="B12" s="2" t="s">
        <v>10</v>
      </c>
      <c r="C12" s="51">
        <v>4563.26</v>
      </c>
      <c r="M12"/>
    </row>
    <row r="13" spans="2:13" x14ac:dyDescent="0.25">
      <c r="C13"/>
      <c r="M13"/>
    </row>
    <row r="14" spans="2:13" x14ac:dyDescent="0.25">
      <c r="M14"/>
    </row>
    <row r="15" spans="2:13" x14ac:dyDescent="0.25">
      <c r="M15"/>
    </row>
    <row r="16" spans="2:13" x14ac:dyDescent="0.25">
      <c r="M16"/>
    </row>
    <row r="17" spans="13:13" x14ac:dyDescent="0.25">
      <c r="M17"/>
    </row>
    <row r="18" spans="13:13" x14ac:dyDescent="0.25">
      <c r="M18"/>
    </row>
    <row r="19" spans="13:13" x14ac:dyDescent="0.25">
      <c r="M19"/>
    </row>
    <row r="20" spans="13:13" x14ac:dyDescent="0.25">
      <c r="M20"/>
    </row>
    <row r="21" spans="13:13" x14ac:dyDescent="0.25">
      <c r="M21"/>
    </row>
    <row r="22" spans="13:13" x14ac:dyDescent="0.25">
      <c r="M22"/>
    </row>
    <row r="23" spans="13:13" x14ac:dyDescent="0.25">
      <c r="M23"/>
    </row>
    <row r="24" spans="13:13" x14ac:dyDescent="0.25">
      <c r="M24"/>
    </row>
    <row r="25" spans="13:13" x14ac:dyDescent="0.25">
      <c r="M25"/>
    </row>
    <row r="26" spans="13:13" x14ac:dyDescent="0.25">
      <c r="M26"/>
    </row>
    <row r="27" spans="13:13" x14ac:dyDescent="0.25">
      <c r="M27"/>
    </row>
    <row r="28" spans="13:13" x14ac:dyDescent="0.25">
      <c r="M28"/>
    </row>
    <row r="29" spans="13:13" x14ac:dyDescent="0.25">
      <c r="M29"/>
    </row>
    <row r="30" spans="13:13" x14ac:dyDescent="0.25">
      <c r="M30"/>
    </row>
    <row r="31" spans="13:13" x14ac:dyDescent="0.25">
      <c r="M31"/>
    </row>
    <row r="32" spans="13:13" x14ac:dyDescent="0.25">
      <c r="M32"/>
    </row>
    <row r="33" spans="13:13" x14ac:dyDescent="0.25">
      <c r="M33"/>
    </row>
    <row r="34" spans="13:13" x14ac:dyDescent="0.25">
      <c r="M34"/>
    </row>
    <row r="35" spans="13:13" x14ac:dyDescent="0.25">
      <c r="M35"/>
    </row>
    <row r="36" spans="13:13" x14ac:dyDescent="0.25">
      <c r="M36"/>
    </row>
    <row r="37" spans="13:13" x14ac:dyDescent="0.25">
      <c r="M37"/>
    </row>
    <row r="38" spans="13:13" x14ac:dyDescent="0.25">
      <c r="M38"/>
    </row>
    <row r="39" spans="13:13" x14ac:dyDescent="0.25">
      <c r="M39"/>
    </row>
    <row r="40" spans="13:13" x14ac:dyDescent="0.25">
      <c r="M40"/>
    </row>
    <row r="41" spans="13:13" x14ac:dyDescent="0.25">
      <c r="M41"/>
    </row>
    <row r="42" spans="13:13" x14ac:dyDescent="0.25">
      <c r="M42"/>
    </row>
    <row r="43" spans="13:13" x14ac:dyDescent="0.25">
      <c r="M43"/>
    </row>
    <row r="44" spans="13:13" x14ac:dyDescent="0.25">
      <c r="M44"/>
    </row>
    <row r="45" spans="13:13" x14ac:dyDescent="0.25">
      <c r="M4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1"/>
  <sheetViews>
    <sheetView showGridLines="0" zoomScale="130" zoomScaleNormal="130" workbookViewId="0">
      <pane ySplit="3" topLeftCell="A4" activePane="bottomLeft" state="frozen"/>
      <selection pane="bottomLeft" activeCell="D15" sqref="D15"/>
    </sheetView>
  </sheetViews>
  <sheetFormatPr defaultRowHeight="11.25" x14ac:dyDescent="0.2"/>
  <cols>
    <col min="1" max="2" width="16.140625" style="38" customWidth="1"/>
    <col min="3" max="3" width="15.5703125" style="38" bestFit="1" customWidth="1"/>
    <col min="4" max="4" width="15.5703125" style="38" customWidth="1"/>
    <col min="5" max="5" width="20" style="38" bestFit="1" customWidth="1"/>
    <col min="6" max="6" width="11.5703125" style="39" bestFit="1" customWidth="1"/>
    <col min="7" max="7" width="22.5703125" style="40" customWidth="1"/>
    <col min="8" max="8" width="21.7109375" style="40" customWidth="1"/>
    <col min="9" max="9" width="18.42578125" style="40" customWidth="1"/>
    <col min="10" max="10" width="23.7109375" style="38" bestFit="1" customWidth="1"/>
    <col min="11" max="11" width="9.140625" style="14" customWidth="1"/>
    <col min="12" max="15" width="9.140625" style="14"/>
    <col min="16" max="16" width="12.7109375" style="14" bestFit="1" customWidth="1"/>
    <col min="17" max="16384" width="9.140625" style="14"/>
  </cols>
  <sheetData>
    <row r="1" spans="1:16" x14ac:dyDescent="0.2">
      <c r="A1" s="8"/>
      <c r="B1" s="8"/>
      <c r="C1" s="8"/>
      <c r="D1" s="8"/>
      <c r="E1" s="8"/>
      <c r="F1" s="9"/>
      <c r="G1" s="10"/>
      <c r="H1" s="11" t="s">
        <v>67</v>
      </c>
      <c r="I1" s="12" t="s">
        <v>69</v>
      </c>
      <c r="J1" s="13" t="s">
        <v>68</v>
      </c>
    </row>
    <row r="2" spans="1:16" s="20" customFormat="1" ht="27.75" customHeight="1" x14ac:dyDescent="0.45">
      <c r="A2" s="15" t="s">
        <v>66</v>
      </c>
      <c r="B2" s="16"/>
      <c r="C2" s="16"/>
      <c r="D2" s="16"/>
      <c r="E2" s="16"/>
      <c r="F2" s="16"/>
      <c r="G2" s="16"/>
      <c r="H2" s="17">
        <f>SUMIF(Tabela1[Caixa],TRANSAÇÕES!H1,Tabela1[Valor])</f>
        <v>4563.2599999999993</v>
      </c>
      <c r="I2" s="18">
        <f>SUMIF(Tabela1[Caixa],TRANSAÇÕES!I1,Tabela1[Valor])</f>
        <v>12392.84</v>
      </c>
      <c r="J2" s="19">
        <f>I2-H2</f>
        <v>7829.5800000000008</v>
      </c>
      <c r="P2" s="21"/>
    </row>
    <row r="3" spans="1:16" ht="21" customHeight="1" x14ac:dyDescent="0.2">
      <c r="A3" s="22" t="s">
        <v>0</v>
      </c>
      <c r="B3" s="23" t="s">
        <v>53</v>
      </c>
      <c r="C3" s="23" t="s">
        <v>56</v>
      </c>
      <c r="D3" s="23" t="s">
        <v>75</v>
      </c>
      <c r="E3" s="23" t="s">
        <v>1</v>
      </c>
      <c r="F3" s="24" t="s">
        <v>58</v>
      </c>
      <c r="G3" s="25" t="s">
        <v>18</v>
      </c>
      <c r="H3" s="25" t="s">
        <v>19</v>
      </c>
      <c r="I3" s="25" t="s">
        <v>52</v>
      </c>
      <c r="J3" s="26" t="s">
        <v>6</v>
      </c>
      <c r="K3" s="27"/>
    </row>
    <row r="4" spans="1:16" ht="21" customHeight="1" x14ac:dyDescent="0.2">
      <c r="A4" s="28" t="s">
        <v>2</v>
      </c>
      <c r="B4" s="29" t="s">
        <v>55</v>
      </c>
      <c r="C4" s="29" t="s">
        <v>11</v>
      </c>
      <c r="D4" s="48" t="str">
        <f>IFERROR(VLOOKUP(Tabela1[[#This Row],[Tag]],TAGS!$J$1:$K$9,2,0),"")</f>
        <v>Essencial</v>
      </c>
      <c r="E4" s="29" t="s">
        <v>5</v>
      </c>
      <c r="F4" s="30">
        <v>950</v>
      </c>
      <c r="G4" s="31">
        <v>45268</v>
      </c>
      <c r="H4" s="31">
        <v>45268</v>
      </c>
      <c r="I4" s="4" t="str">
        <f>IF(G4="","",TEXT(G4,"mmmm"))</f>
        <v>dezembro</v>
      </c>
      <c r="J4" s="5" t="str">
        <f>IF(Tabela1[[#This Row],[Caixa]]="Receita","Recebido",IF(G4="","",IF(H4="","",IF(H4&gt;G4,"Pago atrasado",IF(H4&lt;=G4,"Pago","Aguardando")))))</f>
        <v>Pago</v>
      </c>
    </row>
    <row r="5" spans="1:16" ht="21" customHeight="1" x14ac:dyDescent="0.2">
      <c r="A5" s="28" t="s">
        <v>4</v>
      </c>
      <c r="B5" s="29" t="s">
        <v>55</v>
      </c>
      <c r="C5" s="29" t="s">
        <v>11</v>
      </c>
      <c r="D5" s="48" t="str">
        <f>IFERROR(VLOOKUP(Tabela1[[#This Row],[Tag]],TAGS!$J$1:$K$9,2,0),"")</f>
        <v>Essencial</v>
      </c>
      <c r="E5" s="29" t="s">
        <v>3</v>
      </c>
      <c r="F5" s="30">
        <v>200</v>
      </c>
      <c r="G5" s="31">
        <v>45270</v>
      </c>
      <c r="H5" s="31">
        <v>45268</v>
      </c>
      <c r="I5" s="4" t="str">
        <f t="shared" ref="I5:I67" si="0">IF(G5="","",TEXT(G5,"mmmm"))</f>
        <v>dezembro</v>
      </c>
      <c r="J5" s="5" t="str">
        <f>IF(Tabela1[[#This Row],[Caixa]]="Receita","Recebido",IF(G5="","",IF(H5="","",IF(H5&gt;G5,"Pago atrasado",IF(H5&lt;=G5,"Pago","Aguardando")))))</f>
        <v>Pago</v>
      </c>
    </row>
    <row r="6" spans="1:16" ht="21" customHeight="1" x14ac:dyDescent="0.2">
      <c r="A6" s="28" t="s">
        <v>7</v>
      </c>
      <c r="B6" s="29" t="s">
        <v>55</v>
      </c>
      <c r="C6" s="29" t="s">
        <v>11</v>
      </c>
      <c r="D6" s="48" t="str">
        <f>IFERROR(VLOOKUP(Tabela1[[#This Row],[Tag]],TAGS!$J$1:$K$9,2,0),"")</f>
        <v>Essencial</v>
      </c>
      <c r="E6" s="29" t="s">
        <v>3</v>
      </c>
      <c r="F6" s="30">
        <v>124</v>
      </c>
      <c r="G6" s="31">
        <v>45275</v>
      </c>
      <c r="H6" s="31">
        <v>45268</v>
      </c>
      <c r="I6" s="4" t="str">
        <f t="shared" si="0"/>
        <v>dezembro</v>
      </c>
      <c r="J6" s="5" t="str">
        <f>IF(Tabela1[[#This Row],[Caixa]]="Receita","Recebido",IF(G6="","",IF(H6="","",IF(H6&gt;G6,"Pago atrasado",IF(H6&lt;=G6,"Pago","Aguardando")))))</f>
        <v>Pago</v>
      </c>
    </row>
    <row r="7" spans="1:16" ht="21" customHeight="1" x14ac:dyDescent="0.2">
      <c r="A7" s="28" t="s">
        <v>8</v>
      </c>
      <c r="B7" s="29" t="s">
        <v>55</v>
      </c>
      <c r="C7" s="29" t="s">
        <v>11</v>
      </c>
      <c r="D7" s="48" t="str">
        <f>IFERROR(VLOOKUP(Tabela1[[#This Row],[Tag]],TAGS!$J$1:$K$9,2,0),"")</f>
        <v>Essencial</v>
      </c>
      <c r="E7" s="29" t="s">
        <v>3</v>
      </c>
      <c r="F7" s="30">
        <v>120</v>
      </c>
      <c r="G7" s="31">
        <v>45275</v>
      </c>
      <c r="H7" s="31">
        <v>45268</v>
      </c>
      <c r="I7" s="4" t="str">
        <f t="shared" si="0"/>
        <v>dezembro</v>
      </c>
      <c r="J7" s="5" t="str">
        <f>IF(Tabela1[[#This Row],[Caixa]]="Receita","Recebido",IF(G7="","",IF(H7="","",IF(H7&gt;G7,"Pago atrasado",IF(H7&lt;=G7,"Pago","Aguardando")))))</f>
        <v>Pago</v>
      </c>
      <c r="K7" s="14" t="s">
        <v>70</v>
      </c>
    </row>
    <row r="8" spans="1:16" ht="21" customHeight="1" x14ac:dyDescent="0.2">
      <c r="A8" s="28" t="s">
        <v>20</v>
      </c>
      <c r="B8" s="29" t="s">
        <v>55</v>
      </c>
      <c r="C8" s="29" t="s">
        <v>15</v>
      </c>
      <c r="D8" s="48" t="str">
        <f>IFERROR(VLOOKUP(Tabela1[[#This Row],[Tag]],TAGS!$J$1:$K$9,2,0),"")</f>
        <v>Não essencial</v>
      </c>
      <c r="E8" s="29" t="s">
        <v>17</v>
      </c>
      <c r="F8" s="30">
        <v>41</v>
      </c>
      <c r="G8" s="31">
        <v>45261</v>
      </c>
      <c r="H8" s="31">
        <v>45261</v>
      </c>
      <c r="I8" s="4" t="str">
        <f>IF(G8="","",TEXT(G8,"mmmm"))</f>
        <v>dezembro</v>
      </c>
      <c r="J8" s="5" t="str">
        <f>IF(Tabela1[[#This Row],[Caixa]]="Receita","Recebido",IF(G8="","",IF(H8="","",IF(H8&gt;G8,"Pago atrasado",IF(H8&lt;=G8,"Pago","Aguardando")))))</f>
        <v>Pago</v>
      </c>
    </row>
    <row r="9" spans="1:16" ht="21" customHeight="1" x14ac:dyDescent="0.2">
      <c r="A9" s="28" t="s">
        <v>20</v>
      </c>
      <c r="B9" s="29" t="s">
        <v>55</v>
      </c>
      <c r="C9" s="29" t="s">
        <v>15</v>
      </c>
      <c r="D9" s="48" t="str">
        <f>IFERROR(VLOOKUP(Tabela1[[#This Row],[Tag]],TAGS!$J$1:$K$9,2,0),"")</f>
        <v>Não essencial</v>
      </c>
      <c r="E9" s="29" t="s">
        <v>17</v>
      </c>
      <c r="F9" s="30">
        <v>5.99</v>
      </c>
      <c r="G9" s="31">
        <v>45261</v>
      </c>
      <c r="H9" s="31">
        <v>45261</v>
      </c>
      <c r="I9" s="4" t="str">
        <f t="shared" si="0"/>
        <v>dezembro</v>
      </c>
      <c r="J9" s="5" t="str">
        <f>IF(Tabela1[[#This Row],[Caixa]]="Receita","Recebido",IF(G9="","",IF(H9="","",IF(H9&gt;G9,"Pago atrasado",IF(H9&lt;=G9,"Pago","Aguardando")))))</f>
        <v>Pago</v>
      </c>
    </row>
    <row r="10" spans="1:16" ht="21" customHeight="1" x14ac:dyDescent="0.2">
      <c r="A10" s="28" t="s">
        <v>21</v>
      </c>
      <c r="B10" s="29" t="s">
        <v>55</v>
      </c>
      <c r="C10" s="29" t="s">
        <v>14</v>
      </c>
      <c r="D10" s="48" t="str">
        <f>IFERROR(VLOOKUP(Tabela1[[#This Row],[Tag]],TAGS!$J$1:$K$9,2,0),"")</f>
        <v>Essencial</v>
      </c>
      <c r="E10" s="29" t="s">
        <v>17</v>
      </c>
      <c r="F10" s="30">
        <v>18.5</v>
      </c>
      <c r="G10" s="31">
        <v>45261</v>
      </c>
      <c r="H10" s="31">
        <v>45261</v>
      </c>
      <c r="I10" s="4" t="str">
        <f t="shared" si="0"/>
        <v>dezembro</v>
      </c>
      <c r="J10" s="5" t="str">
        <f>IF(Tabela1[[#This Row],[Caixa]]="Receita","Recebido",IF(G10="","",IF(H10="","",IF(H10&gt;G10,"Pago atrasado",IF(H10&lt;=G10,"Pago","Aguardando")))))</f>
        <v>Pago</v>
      </c>
    </row>
    <row r="11" spans="1:16" ht="21" customHeight="1" x14ac:dyDescent="0.2">
      <c r="A11" s="28" t="s">
        <v>21</v>
      </c>
      <c r="B11" s="29" t="s">
        <v>55</v>
      </c>
      <c r="C11" s="29" t="s">
        <v>14</v>
      </c>
      <c r="D11" s="48" t="str">
        <f>IFERROR(VLOOKUP(Tabela1[[#This Row],[Tag]],TAGS!$J$1:$K$9,2,0),"")</f>
        <v>Essencial</v>
      </c>
      <c r="E11" s="29" t="s">
        <v>17</v>
      </c>
      <c r="F11" s="30">
        <v>18.28</v>
      </c>
      <c r="G11" s="31">
        <v>45261</v>
      </c>
      <c r="H11" s="31">
        <v>45261</v>
      </c>
      <c r="I11" s="4" t="str">
        <f t="shared" si="0"/>
        <v>dezembro</v>
      </c>
      <c r="J11" s="5" t="str">
        <f>IF(Tabela1[[#This Row],[Caixa]]="Receita","Recebido",IF(G11="","",IF(H11="","",IF(H11&gt;G11,"Pago atrasado",IF(H11&lt;=G11,"Pago","Aguardando")))))</f>
        <v>Pago</v>
      </c>
    </row>
    <row r="12" spans="1:16" ht="21" customHeight="1" x14ac:dyDescent="0.2">
      <c r="A12" s="28" t="s">
        <v>22</v>
      </c>
      <c r="B12" s="29" t="s">
        <v>55</v>
      </c>
      <c r="C12" s="29" t="s">
        <v>15</v>
      </c>
      <c r="D12" s="48" t="str">
        <f>IFERROR(VLOOKUP(Tabela1[[#This Row],[Tag]],TAGS!$J$1:$K$9,2,0),"")</f>
        <v>Não essencial</v>
      </c>
      <c r="E12" s="29" t="s">
        <v>17</v>
      </c>
      <c r="F12" s="30">
        <v>12</v>
      </c>
      <c r="G12" s="31">
        <v>45261</v>
      </c>
      <c r="H12" s="31">
        <v>45261</v>
      </c>
      <c r="I12" s="4" t="str">
        <f t="shared" si="0"/>
        <v>dezembro</v>
      </c>
      <c r="J12" s="5" t="str">
        <f>IF(Tabela1[[#This Row],[Caixa]]="Receita","Recebido",IF(G12="","",IF(H12="","",IF(H12&gt;G12,"Pago atrasado",IF(H12&lt;=G12,"Pago","Aguardando")))))</f>
        <v>Pago</v>
      </c>
    </row>
    <row r="13" spans="1:16" ht="21" customHeight="1" x14ac:dyDescent="0.2">
      <c r="A13" s="28" t="s">
        <v>23</v>
      </c>
      <c r="B13" s="29" t="s">
        <v>55</v>
      </c>
      <c r="C13" s="29" t="s">
        <v>15</v>
      </c>
      <c r="D13" s="48" t="str">
        <f>IFERROR(VLOOKUP(Tabela1[[#This Row],[Tag]],TAGS!$J$1:$K$9,2,0),"")</f>
        <v>Não essencial</v>
      </c>
      <c r="E13" s="29" t="s">
        <v>17</v>
      </c>
      <c r="F13" s="30">
        <v>30</v>
      </c>
      <c r="G13" s="31">
        <v>45264</v>
      </c>
      <c r="H13" s="31">
        <v>45264</v>
      </c>
      <c r="I13" s="4" t="str">
        <f t="shared" si="0"/>
        <v>dezembro</v>
      </c>
      <c r="J13" s="5" t="str">
        <f>IF(Tabela1[[#This Row],[Caixa]]="Receita","Recebido",IF(G13="","",IF(H13="","",IF(H13&gt;G13,"Pago atrasado",IF(H13&lt;=G13,"Pago","Aguardando")))))</f>
        <v>Pago</v>
      </c>
    </row>
    <row r="14" spans="1:16" ht="21" customHeight="1" x14ac:dyDescent="0.2">
      <c r="A14" s="28" t="s">
        <v>23</v>
      </c>
      <c r="B14" s="29" t="s">
        <v>55</v>
      </c>
      <c r="C14" s="29" t="s">
        <v>15</v>
      </c>
      <c r="D14" s="48" t="str">
        <f>IFERROR(VLOOKUP(Tabela1[[#This Row],[Tag]],TAGS!$J$1:$K$9,2,0),"")</f>
        <v>Não essencial</v>
      </c>
      <c r="E14" s="29" t="s">
        <v>17</v>
      </c>
      <c r="F14" s="30">
        <v>20</v>
      </c>
      <c r="G14" s="31">
        <v>45264</v>
      </c>
      <c r="H14" s="31">
        <v>45264</v>
      </c>
      <c r="I14" s="4" t="str">
        <f t="shared" si="0"/>
        <v>dezembro</v>
      </c>
      <c r="J14" s="5" t="str">
        <f>IF(Tabela1[[#This Row],[Caixa]]="Receita","Recebido",IF(G14="","",IF(H14="","",IF(H14&gt;G14,"Pago atrasado",IF(H14&lt;=G14,"Pago","Aguardando")))))</f>
        <v>Pago</v>
      </c>
    </row>
    <row r="15" spans="1:16" ht="21" customHeight="1" x14ac:dyDescent="0.2">
      <c r="A15" s="28" t="s">
        <v>20</v>
      </c>
      <c r="B15" s="29" t="s">
        <v>55</v>
      </c>
      <c r="C15" s="29" t="s">
        <v>15</v>
      </c>
      <c r="D15" s="48" t="str">
        <f>IFERROR(VLOOKUP(Tabela1[[#This Row],[Tag]],TAGS!$J$1:$K$9,2,0),"")</f>
        <v>Não essencial</v>
      </c>
      <c r="E15" s="29" t="s">
        <v>17</v>
      </c>
      <c r="F15" s="30">
        <v>11.9</v>
      </c>
      <c r="G15" s="31">
        <v>45264</v>
      </c>
      <c r="H15" s="31">
        <v>45264</v>
      </c>
      <c r="I15" s="4" t="str">
        <f t="shared" si="0"/>
        <v>dezembro</v>
      </c>
      <c r="J15" s="5" t="str">
        <f>IF(Tabela1[[#This Row],[Caixa]]="Receita","Recebido",IF(G15="","",IF(H15="","",IF(H15&gt;G15,"Pago atrasado",IF(H15&lt;=G15,"Pago","Aguardando")))))</f>
        <v>Pago</v>
      </c>
    </row>
    <row r="16" spans="1:16" ht="21" customHeight="1" x14ac:dyDescent="0.2">
      <c r="A16" s="28" t="s">
        <v>20</v>
      </c>
      <c r="B16" s="29" t="s">
        <v>55</v>
      </c>
      <c r="C16" s="29" t="s">
        <v>15</v>
      </c>
      <c r="D16" s="48" t="str">
        <f>IFERROR(VLOOKUP(Tabela1[[#This Row],[Tag]],TAGS!$J$1:$K$9,2,0),"")</f>
        <v>Não essencial</v>
      </c>
      <c r="E16" s="29" t="s">
        <v>17</v>
      </c>
      <c r="F16" s="30">
        <v>13.99</v>
      </c>
      <c r="G16" s="31">
        <v>45264</v>
      </c>
      <c r="H16" s="31">
        <v>45264</v>
      </c>
      <c r="I16" s="4" t="str">
        <f t="shared" si="0"/>
        <v>dezembro</v>
      </c>
      <c r="J16" s="5" t="str">
        <f>IF(Tabela1[[#This Row],[Caixa]]="Receita","Recebido",IF(G16="","",IF(H16="","",IF(H16&gt;G16,"Pago atrasado",IF(H16&lt;=G16,"Pago","Aguardando")))))</f>
        <v>Pago</v>
      </c>
    </row>
    <row r="17" spans="1:10" ht="21" customHeight="1" x14ac:dyDescent="0.2">
      <c r="A17" s="28" t="s">
        <v>24</v>
      </c>
      <c r="B17" s="29" t="s">
        <v>55</v>
      </c>
      <c r="C17" s="29" t="s">
        <v>15</v>
      </c>
      <c r="D17" s="48" t="str">
        <f>IFERROR(VLOOKUP(Tabela1[[#This Row],[Tag]],TAGS!$J$1:$K$9,2,0),"")</f>
        <v>Não essencial</v>
      </c>
      <c r="E17" s="29" t="s">
        <v>17</v>
      </c>
      <c r="F17" s="30">
        <v>47.61</v>
      </c>
      <c r="G17" s="31">
        <v>45264</v>
      </c>
      <c r="H17" s="31">
        <v>45264</v>
      </c>
      <c r="I17" s="4" t="str">
        <f t="shared" si="0"/>
        <v>dezembro</v>
      </c>
      <c r="J17" s="5" t="str">
        <f>IF(Tabela1[[#This Row],[Caixa]]="Receita","Recebido",IF(G17="","",IF(H17="","",IF(H17&gt;G17,"Pago atrasado",IF(H17&lt;=G17,"Pago","Aguardando")))))</f>
        <v>Pago</v>
      </c>
    </row>
    <row r="18" spans="1:10" ht="21" customHeight="1" x14ac:dyDescent="0.2">
      <c r="A18" s="28" t="s">
        <v>25</v>
      </c>
      <c r="B18" s="29" t="s">
        <v>55</v>
      </c>
      <c r="C18" s="29" t="s">
        <v>15</v>
      </c>
      <c r="D18" s="48" t="str">
        <f>IFERROR(VLOOKUP(Tabela1[[#This Row],[Tag]],TAGS!$J$1:$K$9,2,0),"")</f>
        <v>Não essencial</v>
      </c>
      <c r="E18" s="29" t="s">
        <v>17</v>
      </c>
      <c r="F18" s="30">
        <v>16</v>
      </c>
      <c r="G18" s="31">
        <v>45264</v>
      </c>
      <c r="H18" s="31">
        <v>45264</v>
      </c>
      <c r="I18" s="4" t="str">
        <f t="shared" si="0"/>
        <v>dezembro</v>
      </c>
      <c r="J18" s="5" t="str">
        <f>IF(Tabela1[[#This Row],[Caixa]]="Receita","Recebido",IF(G18="","",IF(H18="","",IF(H18&gt;G18,"Pago atrasado",IF(H18&lt;=G18,"Pago","Aguardando")))))</f>
        <v>Pago</v>
      </c>
    </row>
    <row r="19" spans="1:10" ht="21" customHeight="1" x14ac:dyDescent="0.2">
      <c r="A19" s="28" t="s">
        <v>21</v>
      </c>
      <c r="B19" s="29" t="s">
        <v>55</v>
      </c>
      <c r="C19" s="29" t="s">
        <v>14</v>
      </c>
      <c r="D19" s="48" t="str">
        <f>IFERROR(VLOOKUP(Tabela1[[#This Row],[Tag]],TAGS!$J$1:$K$9,2,0),"")</f>
        <v>Essencial</v>
      </c>
      <c r="E19" s="29" t="s">
        <v>17</v>
      </c>
      <c r="F19" s="30">
        <v>20.6</v>
      </c>
      <c r="G19" s="31">
        <v>45264</v>
      </c>
      <c r="H19" s="31">
        <v>45264</v>
      </c>
      <c r="I19" s="4" t="str">
        <f t="shared" si="0"/>
        <v>dezembro</v>
      </c>
      <c r="J19" s="5" t="str">
        <f>IF(Tabela1[[#This Row],[Caixa]]="Receita","Recebido",IF(G19="","",IF(H19="","",IF(H19&gt;G19,"Pago atrasado",IF(H19&lt;=G19,"Pago","Aguardando")))))</f>
        <v>Pago</v>
      </c>
    </row>
    <row r="20" spans="1:10" ht="21" customHeight="1" x14ac:dyDescent="0.2">
      <c r="A20" s="28" t="s">
        <v>21</v>
      </c>
      <c r="B20" s="29" t="s">
        <v>55</v>
      </c>
      <c r="C20" s="29" t="s">
        <v>14</v>
      </c>
      <c r="D20" s="48" t="str">
        <f>IFERROR(VLOOKUP(Tabela1[[#This Row],[Tag]],TAGS!$J$1:$K$9,2,0),"")</f>
        <v>Essencial</v>
      </c>
      <c r="E20" s="29" t="s">
        <v>17</v>
      </c>
      <c r="F20" s="30">
        <v>13.2</v>
      </c>
      <c r="G20" s="31">
        <v>45264</v>
      </c>
      <c r="H20" s="31">
        <v>45264</v>
      </c>
      <c r="I20" s="4" t="str">
        <f t="shared" si="0"/>
        <v>dezembro</v>
      </c>
      <c r="J20" s="5" t="str">
        <f>IF(Tabela1[[#This Row],[Caixa]]="Receita","Recebido",IF(G20="","",IF(H20="","",IF(H20&gt;G20,"Pago atrasado",IF(H20&lt;=G20,"Pago","Aguardando")))))</f>
        <v>Pago</v>
      </c>
    </row>
    <row r="21" spans="1:10" ht="21" customHeight="1" x14ac:dyDescent="0.2">
      <c r="A21" s="28" t="s">
        <v>21</v>
      </c>
      <c r="B21" s="29" t="s">
        <v>55</v>
      </c>
      <c r="C21" s="29" t="s">
        <v>14</v>
      </c>
      <c r="D21" s="48" t="str">
        <f>IFERROR(VLOOKUP(Tabela1[[#This Row],[Tag]],TAGS!$J$1:$K$9,2,0),"")</f>
        <v>Essencial</v>
      </c>
      <c r="E21" s="29" t="s">
        <v>17</v>
      </c>
      <c r="F21" s="30">
        <v>12.7</v>
      </c>
      <c r="G21" s="31">
        <v>45264</v>
      </c>
      <c r="H21" s="31">
        <v>45264</v>
      </c>
      <c r="I21" s="4" t="str">
        <f t="shared" si="0"/>
        <v>dezembro</v>
      </c>
      <c r="J21" s="5" t="str">
        <f>IF(Tabela1[[#This Row],[Caixa]]="Receita","Recebido",IF(G21="","",IF(H21="","",IF(H21&gt;G21,"Pago atrasado",IF(H21&lt;=G21,"Pago","Aguardando")))))</f>
        <v>Pago</v>
      </c>
    </row>
    <row r="22" spans="1:10" ht="21" customHeight="1" x14ac:dyDescent="0.2">
      <c r="A22" s="28" t="s">
        <v>21</v>
      </c>
      <c r="B22" s="29" t="s">
        <v>55</v>
      </c>
      <c r="C22" s="29" t="s">
        <v>14</v>
      </c>
      <c r="D22" s="48" t="str">
        <f>IFERROR(VLOOKUP(Tabela1[[#This Row],[Tag]],TAGS!$J$1:$K$9,2,0),"")</f>
        <v>Essencial</v>
      </c>
      <c r="E22" s="29" t="s">
        <v>17</v>
      </c>
      <c r="F22" s="30">
        <v>12.7</v>
      </c>
      <c r="G22" s="31">
        <v>45264</v>
      </c>
      <c r="H22" s="31">
        <v>45264</v>
      </c>
      <c r="I22" s="4" t="str">
        <f t="shared" si="0"/>
        <v>dezembro</v>
      </c>
      <c r="J22" s="5" t="str">
        <f>IF(Tabela1[[#This Row],[Caixa]]="Receita","Recebido",IF(G22="","",IF(H22="","",IF(H22&gt;G22,"Pago atrasado",IF(H22&lt;=G22,"Pago","Aguardando")))))</f>
        <v>Pago</v>
      </c>
    </row>
    <row r="23" spans="1:10" ht="21" customHeight="1" x14ac:dyDescent="0.2">
      <c r="A23" s="28" t="s">
        <v>26</v>
      </c>
      <c r="B23" s="29" t="s">
        <v>55</v>
      </c>
      <c r="C23" s="29" t="s">
        <v>15</v>
      </c>
      <c r="D23" s="48" t="str">
        <f>IFERROR(VLOOKUP(Tabela1[[#This Row],[Tag]],TAGS!$J$1:$K$9,2,0),"")</f>
        <v>Não essencial</v>
      </c>
      <c r="E23" s="29" t="s">
        <v>17</v>
      </c>
      <c r="F23" s="30">
        <v>45</v>
      </c>
      <c r="G23" s="31">
        <v>45264</v>
      </c>
      <c r="H23" s="31">
        <v>45264</v>
      </c>
      <c r="I23" s="4" t="str">
        <f t="shared" si="0"/>
        <v>dezembro</v>
      </c>
      <c r="J23" s="5" t="str">
        <f>IF(Tabela1[[#This Row],[Caixa]]="Receita","Recebido",IF(G23="","",IF(H23="","",IF(H23&gt;G23,"Pago atrasado",IF(H23&lt;=G23,"Pago","Aguardando")))))</f>
        <v>Pago</v>
      </c>
    </row>
    <row r="24" spans="1:10" ht="21" customHeight="1" x14ac:dyDescent="0.2">
      <c r="A24" s="28" t="s">
        <v>27</v>
      </c>
      <c r="B24" s="29" t="s">
        <v>55</v>
      </c>
      <c r="C24" s="29" t="s">
        <v>28</v>
      </c>
      <c r="D24" s="48" t="str">
        <f>IFERROR(VLOOKUP(Tabela1[[#This Row],[Tag]],TAGS!$J$1:$K$9,2,0),"")</f>
        <v>Não essencial</v>
      </c>
      <c r="E24" s="29" t="s">
        <v>17</v>
      </c>
      <c r="F24" s="30">
        <v>50</v>
      </c>
      <c r="G24" s="31">
        <v>45264</v>
      </c>
      <c r="H24" s="31">
        <v>45264</v>
      </c>
      <c r="I24" s="4" t="str">
        <f t="shared" si="0"/>
        <v>dezembro</v>
      </c>
      <c r="J24" s="5" t="str">
        <f>IF(Tabela1[[#This Row],[Caixa]]="Receita","Recebido",IF(G24="","",IF(H24="","",IF(H24&gt;G24,"Pago atrasado",IF(H24&lt;=G24,"Pago","Aguardando")))))</f>
        <v>Pago</v>
      </c>
    </row>
    <row r="25" spans="1:10" ht="21" customHeight="1" x14ac:dyDescent="0.2">
      <c r="A25" s="28" t="s">
        <v>21</v>
      </c>
      <c r="B25" s="29" t="s">
        <v>55</v>
      </c>
      <c r="C25" s="29" t="s">
        <v>14</v>
      </c>
      <c r="D25" s="48" t="str">
        <f>IFERROR(VLOOKUP(Tabela1[[#This Row],[Tag]],TAGS!$J$1:$K$9,2,0),"")</f>
        <v>Essencial</v>
      </c>
      <c r="E25" s="29" t="s">
        <v>17</v>
      </c>
      <c r="F25" s="30">
        <v>18.41</v>
      </c>
      <c r="G25" s="31">
        <v>45265</v>
      </c>
      <c r="H25" s="31">
        <v>45265</v>
      </c>
      <c r="I25" s="4" t="str">
        <f t="shared" si="0"/>
        <v>dezembro</v>
      </c>
      <c r="J25" s="5" t="str">
        <f>IF(Tabela1[[#This Row],[Caixa]]="Receita","Recebido",IF(G25="","",IF(H25="","",IF(H25&gt;G25,"Pago atrasado",IF(H25&lt;=G25,"Pago","Aguardando")))))</f>
        <v>Pago</v>
      </c>
    </row>
    <row r="26" spans="1:10" ht="21" customHeight="1" x14ac:dyDescent="0.2">
      <c r="A26" s="28" t="s">
        <v>21</v>
      </c>
      <c r="B26" s="29" t="s">
        <v>55</v>
      </c>
      <c r="C26" s="29" t="s">
        <v>14</v>
      </c>
      <c r="D26" s="48" t="str">
        <f>IFERROR(VLOOKUP(Tabela1[[#This Row],[Tag]],TAGS!$J$1:$K$9,2,0),"")</f>
        <v>Essencial</v>
      </c>
      <c r="E26" s="29" t="s">
        <v>17</v>
      </c>
      <c r="F26" s="30">
        <v>17.100000000000001</v>
      </c>
      <c r="G26" s="31">
        <v>45265</v>
      </c>
      <c r="H26" s="31">
        <v>45265</v>
      </c>
      <c r="I26" s="4" t="str">
        <f t="shared" si="0"/>
        <v>dezembro</v>
      </c>
      <c r="J26" s="5" t="str">
        <f>IF(Tabela1[[#This Row],[Caixa]]="Receita","Recebido",IF(G26="","",IF(H26="","",IF(H26&gt;G26,"Pago atrasado",IF(H26&lt;=G26,"Pago","Aguardando")))))</f>
        <v>Pago</v>
      </c>
    </row>
    <row r="27" spans="1:10" ht="21" customHeight="1" x14ac:dyDescent="0.2">
      <c r="A27" s="28" t="s">
        <v>29</v>
      </c>
      <c r="B27" s="29" t="s">
        <v>55</v>
      </c>
      <c r="C27" s="29" t="s">
        <v>15</v>
      </c>
      <c r="D27" s="48" t="str">
        <f>IFERROR(VLOOKUP(Tabela1[[#This Row],[Tag]],TAGS!$J$1:$K$9,2,0),"")</f>
        <v>Não essencial</v>
      </c>
      <c r="E27" s="29" t="s">
        <v>17</v>
      </c>
      <c r="F27" s="30">
        <v>55</v>
      </c>
      <c r="G27" s="31">
        <v>45265</v>
      </c>
      <c r="H27" s="31">
        <v>45265</v>
      </c>
      <c r="I27" s="4" t="str">
        <f t="shared" si="0"/>
        <v>dezembro</v>
      </c>
      <c r="J27" s="5" t="str">
        <f>IF(Tabela1[[#This Row],[Caixa]]="Receita","Recebido",IF(G27="","",IF(H27="","",IF(H27&gt;G27,"Pago atrasado",IF(H27&lt;=G27,"Pago","Aguardando")))))</f>
        <v>Pago</v>
      </c>
    </row>
    <row r="28" spans="1:10" ht="21" customHeight="1" x14ac:dyDescent="0.2">
      <c r="A28" s="28" t="s">
        <v>20</v>
      </c>
      <c r="B28" s="29" t="s">
        <v>55</v>
      </c>
      <c r="C28" s="29" t="s">
        <v>15</v>
      </c>
      <c r="D28" s="48" t="str">
        <f>IFERROR(VLOOKUP(Tabela1[[#This Row],[Tag]],TAGS!$J$1:$K$9,2,0),"")</f>
        <v>Não essencial</v>
      </c>
      <c r="E28" s="29" t="s">
        <v>17</v>
      </c>
      <c r="F28" s="30">
        <v>6</v>
      </c>
      <c r="G28" s="31">
        <v>45265</v>
      </c>
      <c r="H28" s="31">
        <v>45265</v>
      </c>
      <c r="I28" s="4" t="str">
        <f t="shared" si="0"/>
        <v>dezembro</v>
      </c>
      <c r="J28" s="5" t="str">
        <f>IF(Tabela1[[#This Row],[Caixa]]="Receita","Recebido",IF(G28="","",IF(H28="","",IF(H28&gt;G28,"Pago atrasado",IF(H28&lt;=G28,"Pago","Aguardando")))))</f>
        <v>Pago</v>
      </c>
    </row>
    <row r="29" spans="1:10" ht="21" customHeight="1" x14ac:dyDescent="0.2">
      <c r="A29" s="28" t="s">
        <v>31</v>
      </c>
      <c r="B29" s="29" t="s">
        <v>55</v>
      </c>
      <c r="C29" s="29" t="s">
        <v>13</v>
      </c>
      <c r="D29" s="48" t="str">
        <f>IFERROR(VLOOKUP(Tabela1[[#This Row],[Tag]],TAGS!$J$1:$K$9,2,0),"")</f>
        <v>Essencial</v>
      </c>
      <c r="E29" s="29" t="s">
        <v>17</v>
      </c>
      <c r="F29" s="30">
        <v>87</v>
      </c>
      <c r="G29" s="31">
        <v>45266</v>
      </c>
      <c r="H29" s="31">
        <v>45266</v>
      </c>
      <c r="I29" s="4" t="str">
        <f t="shared" si="0"/>
        <v>dezembro</v>
      </c>
      <c r="J29" s="5" t="str">
        <f>IF(Tabela1[[#This Row],[Caixa]]="Receita","Recebido",IF(G29="","",IF(H29="","",IF(H29&gt;G29,"Pago atrasado",IF(H29&lt;=G29,"Pago","Aguardando")))))</f>
        <v>Pago</v>
      </c>
    </row>
    <row r="30" spans="1:10" ht="21" customHeight="1" x14ac:dyDescent="0.2">
      <c r="A30" s="28" t="s">
        <v>21</v>
      </c>
      <c r="B30" s="29" t="s">
        <v>55</v>
      </c>
      <c r="C30" s="29" t="s">
        <v>14</v>
      </c>
      <c r="D30" s="48" t="str">
        <f>IFERROR(VLOOKUP(Tabela1[[#This Row],[Tag]],TAGS!$J$1:$K$9,2,0),"")</f>
        <v>Essencial</v>
      </c>
      <c r="E30" s="29" t="s">
        <v>17</v>
      </c>
      <c r="F30" s="30">
        <v>18.600000000000001</v>
      </c>
      <c r="G30" s="31">
        <v>45266</v>
      </c>
      <c r="H30" s="31">
        <v>45266</v>
      </c>
      <c r="I30" s="4" t="str">
        <f t="shared" si="0"/>
        <v>dezembro</v>
      </c>
      <c r="J30" s="5" t="str">
        <f>IF(Tabela1[[#This Row],[Caixa]]="Receita","Recebido",IF(G30="","",IF(H30="","",IF(H30&gt;G30,"Pago atrasado",IF(H30&lt;=G30,"Pago","Aguardando")))))</f>
        <v>Pago</v>
      </c>
    </row>
    <row r="31" spans="1:10" ht="21" customHeight="1" x14ac:dyDescent="0.2">
      <c r="A31" s="28" t="s">
        <v>21</v>
      </c>
      <c r="B31" s="29" t="s">
        <v>55</v>
      </c>
      <c r="C31" s="29" t="s">
        <v>14</v>
      </c>
      <c r="D31" s="48" t="str">
        <f>IFERROR(VLOOKUP(Tabela1[[#This Row],[Tag]],TAGS!$J$1:$K$9,2,0),"")</f>
        <v>Essencial</v>
      </c>
      <c r="E31" s="29" t="s">
        <v>17</v>
      </c>
      <c r="F31" s="30">
        <v>18.600000000000001</v>
      </c>
      <c r="G31" s="31">
        <v>45266</v>
      </c>
      <c r="H31" s="31">
        <v>45266</v>
      </c>
      <c r="I31" s="4" t="str">
        <f t="shared" si="0"/>
        <v>dezembro</v>
      </c>
      <c r="J31" s="5" t="str">
        <f>IF(Tabela1[[#This Row],[Caixa]]="Receita","Recebido",IF(G31="","",IF(H31="","",IF(H31&gt;G31,"Pago atrasado",IF(H31&lt;=G31,"Pago","Aguardando")))))</f>
        <v>Pago</v>
      </c>
    </row>
    <row r="32" spans="1:10" ht="21" customHeight="1" x14ac:dyDescent="0.2">
      <c r="A32" s="28" t="s">
        <v>33</v>
      </c>
      <c r="B32" s="29" t="s">
        <v>55</v>
      </c>
      <c r="C32" s="29" t="s">
        <v>32</v>
      </c>
      <c r="D32" s="48" t="str">
        <f>IFERROR(VLOOKUP(Tabela1[[#This Row],[Tag]],TAGS!$J$1:$K$9,2,0),"")</f>
        <v>Investimento</v>
      </c>
      <c r="E32" s="29" t="s">
        <v>17</v>
      </c>
      <c r="F32" s="30">
        <v>207</v>
      </c>
      <c r="G32" s="31">
        <v>45266</v>
      </c>
      <c r="H32" s="31">
        <v>45266</v>
      </c>
      <c r="I32" s="4" t="str">
        <f t="shared" si="0"/>
        <v>dezembro</v>
      </c>
      <c r="J32" s="5" t="str">
        <f>IF(Tabela1[[#This Row],[Caixa]]="Receita","Recebido",IF(G32="","",IF(H32="","",IF(H32&gt;G32,"Pago atrasado",IF(H32&lt;=G32,"Pago","Aguardando")))))</f>
        <v>Pago</v>
      </c>
    </row>
    <row r="33" spans="1:10" ht="21" customHeight="1" x14ac:dyDescent="0.2">
      <c r="A33" s="28" t="s">
        <v>34</v>
      </c>
      <c r="B33" s="29" t="s">
        <v>55</v>
      </c>
      <c r="C33" s="29" t="s">
        <v>35</v>
      </c>
      <c r="D33" s="48" t="str">
        <f>IFERROR(VLOOKUP(Tabela1[[#This Row],[Tag]],TAGS!$J$1:$K$9,2,0),"")</f>
        <v>Não essencial</v>
      </c>
      <c r="E33" s="29" t="s">
        <v>17</v>
      </c>
      <c r="F33" s="30">
        <v>44</v>
      </c>
      <c r="G33" s="31">
        <v>45266</v>
      </c>
      <c r="H33" s="31">
        <v>45266</v>
      </c>
      <c r="I33" s="4" t="str">
        <f t="shared" si="0"/>
        <v>dezembro</v>
      </c>
      <c r="J33" s="5" t="str">
        <f>IF(Tabela1[[#This Row],[Caixa]]="Receita","Recebido",IF(G33="","",IF(H33="","",IF(H33&gt;G33,"Pago atrasado",IF(H33&lt;=G33,"Pago","Aguardando")))))</f>
        <v>Pago</v>
      </c>
    </row>
    <row r="34" spans="1:10" ht="21" customHeight="1" x14ac:dyDescent="0.2">
      <c r="A34" s="28" t="s">
        <v>36</v>
      </c>
      <c r="B34" s="29" t="s">
        <v>55</v>
      </c>
      <c r="C34" s="29" t="s">
        <v>32</v>
      </c>
      <c r="D34" s="48" t="str">
        <f>IFERROR(VLOOKUP(Tabela1[[#This Row],[Tag]],TAGS!$J$1:$K$9,2,0),"")</f>
        <v>Investimento</v>
      </c>
      <c r="E34" s="29" t="s">
        <v>17</v>
      </c>
      <c r="F34" s="30">
        <v>256</v>
      </c>
      <c r="G34" s="31">
        <v>45267</v>
      </c>
      <c r="H34" s="31">
        <v>45267</v>
      </c>
      <c r="I34" s="4" t="str">
        <f t="shared" si="0"/>
        <v>dezembro</v>
      </c>
      <c r="J34" s="5" t="str">
        <f>IF(Tabela1[[#This Row],[Caixa]]="Receita","Recebido",IF(G34="","",IF(H34="","",IF(H34&gt;G34,"Pago atrasado",IF(H34&lt;=G34,"Pago","Aguardando")))))</f>
        <v>Pago</v>
      </c>
    </row>
    <row r="35" spans="1:10" ht="21" customHeight="1" x14ac:dyDescent="0.2">
      <c r="A35" s="28" t="s">
        <v>21</v>
      </c>
      <c r="B35" s="29" t="s">
        <v>55</v>
      </c>
      <c r="C35" s="29" t="s">
        <v>14</v>
      </c>
      <c r="D35" s="48" t="str">
        <f>IFERROR(VLOOKUP(Tabela1[[#This Row],[Tag]],TAGS!$J$1:$K$9,2,0),"")</f>
        <v>Essencial</v>
      </c>
      <c r="E35" s="29" t="s">
        <v>17</v>
      </c>
      <c r="F35" s="30">
        <v>12.7</v>
      </c>
      <c r="G35" s="31">
        <v>45267</v>
      </c>
      <c r="H35" s="31">
        <v>45267</v>
      </c>
      <c r="I35" s="4" t="str">
        <f t="shared" si="0"/>
        <v>dezembro</v>
      </c>
      <c r="J35" s="5" t="str">
        <f>IF(Tabela1[[#This Row],[Caixa]]="Receita","Recebido",IF(G35="","",IF(H35="","",IF(H35&gt;G35,"Pago atrasado",IF(H35&lt;=G35,"Pago","Aguardando")))))</f>
        <v>Pago</v>
      </c>
    </row>
    <row r="36" spans="1:10" ht="21" customHeight="1" x14ac:dyDescent="0.2">
      <c r="A36" s="28" t="s">
        <v>37</v>
      </c>
      <c r="B36" s="29" t="s">
        <v>55</v>
      </c>
      <c r="C36" s="29" t="s">
        <v>35</v>
      </c>
      <c r="D36" s="48" t="str">
        <f>IFERROR(VLOOKUP(Tabela1[[#This Row],[Tag]],TAGS!$J$1:$K$9,2,0),"")</f>
        <v>Não essencial</v>
      </c>
      <c r="E36" s="29" t="s">
        <v>17</v>
      </c>
      <c r="F36" s="30">
        <v>200</v>
      </c>
      <c r="G36" s="31">
        <v>45267</v>
      </c>
      <c r="H36" s="31">
        <v>45267</v>
      </c>
      <c r="I36" s="4" t="str">
        <f t="shared" si="0"/>
        <v>dezembro</v>
      </c>
      <c r="J36" s="5" t="str">
        <f>IF(Tabela1[[#This Row],[Caixa]]="Receita","Recebido",IF(G36="","",IF(H36="","",IF(H36&gt;G36,"Pago atrasado",IF(H36&lt;=G36,"Pago","Aguardando")))))</f>
        <v>Pago</v>
      </c>
    </row>
    <row r="37" spans="1:10" ht="21" customHeight="1" x14ac:dyDescent="0.2">
      <c r="A37" s="28" t="s">
        <v>38</v>
      </c>
      <c r="B37" s="29" t="s">
        <v>55</v>
      </c>
      <c r="C37" s="29" t="s">
        <v>11</v>
      </c>
      <c r="D37" s="48" t="str">
        <f>IFERROR(VLOOKUP(Tabela1[[#This Row],[Tag]],TAGS!$J$1:$K$9,2,0),"")</f>
        <v>Essencial</v>
      </c>
      <c r="E37" s="29" t="s">
        <v>17</v>
      </c>
      <c r="F37" s="30">
        <v>90</v>
      </c>
      <c r="G37" s="31">
        <v>45267</v>
      </c>
      <c r="H37" s="31">
        <v>45267</v>
      </c>
      <c r="I37" s="4" t="str">
        <f t="shared" si="0"/>
        <v>dezembro</v>
      </c>
      <c r="J37" s="5" t="str">
        <f>IF(Tabela1[[#This Row],[Caixa]]="Receita","Recebido",IF(G37="","",IF(H37="","",IF(H37&gt;G37,"Pago atrasado",IF(H37&lt;=G37,"Pago","Aguardando")))))</f>
        <v>Pago</v>
      </c>
    </row>
    <row r="38" spans="1:10" ht="21" customHeight="1" x14ac:dyDescent="0.2">
      <c r="A38" s="28" t="s">
        <v>39</v>
      </c>
      <c r="B38" s="29" t="s">
        <v>55</v>
      </c>
      <c r="C38" s="29" t="s">
        <v>11</v>
      </c>
      <c r="D38" s="48" t="str">
        <f>IFERROR(VLOOKUP(Tabela1[[#This Row],[Tag]],TAGS!$J$1:$K$9,2,0),"")</f>
        <v>Essencial</v>
      </c>
      <c r="E38" s="29" t="s">
        <v>17</v>
      </c>
      <c r="F38" s="30">
        <v>66</v>
      </c>
      <c r="G38" s="31">
        <v>45267</v>
      </c>
      <c r="H38" s="31">
        <v>45267</v>
      </c>
      <c r="I38" s="4" t="str">
        <f t="shared" si="0"/>
        <v>dezembro</v>
      </c>
      <c r="J38" s="5" t="str">
        <f>IF(Tabela1[[#This Row],[Caixa]]="Receita","Recebido",IF(G38="","",IF(H38="","",IF(H38&gt;G38,"Pago atrasado",IF(H38&lt;=G38,"Pago","Aguardando")))))</f>
        <v>Pago</v>
      </c>
    </row>
    <row r="39" spans="1:10" ht="21" customHeight="1" x14ac:dyDescent="0.2">
      <c r="A39" s="28" t="s">
        <v>21</v>
      </c>
      <c r="B39" s="29" t="s">
        <v>55</v>
      </c>
      <c r="C39" s="29" t="s">
        <v>14</v>
      </c>
      <c r="D39" s="48" t="str">
        <f>IFERROR(VLOOKUP(Tabela1[[#This Row],[Tag]],TAGS!$J$1:$K$9,2,0),"")</f>
        <v>Essencial</v>
      </c>
      <c r="E39" s="29" t="s">
        <v>17</v>
      </c>
      <c r="F39" s="30">
        <v>14</v>
      </c>
      <c r="G39" s="31">
        <v>45268</v>
      </c>
      <c r="H39" s="31">
        <v>45268</v>
      </c>
      <c r="I39" s="4" t="str">
        <f t="shared" si="0"/>
        <v>dezembro</v>
      </c>
      <c r="J39" s="5" t="str">
        <f>IF(Tabela1[[#This Row],[Caixa]]="Receita","Recebido",IF(G39="","",IF(H39="","",IF(H39&gt;G39,"Pago atrasado",IF(H39&lt;=G39,"Pago","Aguardando")))))</f>
        <v>Pago</v>
      </c>
    </row>
    <row r="40" spans="1:10" ht="21" customHeight="1" x14ac:dyDescent="0.2">
      <c r="A40" s="28" t="s">
        <v>16</v>
      </c>
      <c r="B40" s="29" t="s">
        <v>55</v>
      </c>
      <c r="C40" s="29" t="s">
        <v>14</v>
      </c>
      <c r="D40" s="48" t="str">
        <f>IFERROR(VLOOKUP(Tabela1[[#This Row],[Tag]],TAGS!$J$1:$K$9,2,0),"")</f>
        <v>Essencial</v>
      </c>
      <c r="E40" s="29" t="s">
        <v>17</v>
      </c>
      <c r="F40" s="30">
        <v>19.899999999999999</v>
      </c>
      <c r="G40" s="31">
        <v>45268</v>
      </c>
      <c r="H40" s="31">
        <v>45268</v>
      </c>
      <c r="I40" s="4" t="str">
        <f t="shared" si="0"/>
        <v>dezembro</v>
      </c>
      <c r="J40" s="5" t="str">
        <f>IF(Tabela1[[#This Row],[Caixa]]="Receita","Recebido",IF(G40="","",IF(H40="","",IF(H40&gt;G40,"Pago atrasado",IF(H40&lt;=G40,"Pago","Aguardando")))))</f>
        <v>Pago</v>
      </c>
    </row>
    <row r="41" spans="1:10" ht="21" customHeight="1" x14ac:dyDescent="0.2">
      <c r="A41" s="28" t="s">
        <v>40</v>
      </c>
      <c r="B41" s="29" t="s">
        <v>55</v>
      </c>
      <c r="C41" s="29" t="s">
        <v>13</v>
      </c>
      <c r="D41" s="48" t="str">
        <f>IFERROR(VLOOKUP(Tabela1[[#This Row],[Tag]],TAGS!$J$1:$K$9,2,0),"")</f>
        <v>Essencial</v>
      </c>
      <c r="E41" s="29" t="s">
        <v>17</v>
      </c>
      <c r="F41" s="30">
        <v>10</v>
      </c>
      <c r="G41" s="31">
        <v>45268</v>
      </c>
      <c r="H41" s="31">
        <v>45268</v>
      </c>
      <c r="I41" s="4" t="str">
        <f t="shared" si="0"/>
        <v>dezembro</v>
      </c>
      <c r="J41" s="5" t="str">
        <f>IF(Tabela1[[#This Row],[Caixa]]="Receita","Recebido",IF(G41="","",IF(H41="","",IF(H41&gt;G41,"Pago atrasado",IF(H41&lt;=G41,"Pago","Aguardando")))))</f>
        <v>Pago</v>
      </c>
    </row>
    <row r="42" spans="1:10" ht="21" customHeight="1" x14ac:dyDescent="0.2">
      <c r="A42" s="28" t="s">
        <v>21</v>
      </c>
      <c r="B42" s="29" t="s">
        <v>55</v>
      </c>
      <c r="C42" s="29" t="s">
        <v>14</v>
      </c>
      <c r="D42" s="48" t="str">
        <f>IFERROR(VLOOKUP(Tabela1[[#This Row],[Tag]],TAGS!$J$1:$K$9,2,0),"")</f>
        <v>Essencial</v>
      </c>
      <c r="E42" s="29" t="s">
        <v>17</v>
      </c>
      <c r="F42" s="30">
        <v>16</v>
      </c>
      <c r="G42" s="31">
        <v>45271</v>
      </c>
      <c r="H42" s="31">
        <v>45271</v>
      </c>
      <c r="I42" s="4" t="str">
        <f t="shared" si="0"/>
        <v>dezembro</v>
      </c>
      <c r="J42" s="5" t="str">
        <f>IF(Tabela1[[#This Row],[Caixa]]="Receita","Recebido",IF(G42="","",IF(H42="","",IF(H42&gt;G42,"Pago atrasado",IF(H42&lt;=G42,"Pago","Aguardando")))))</f>
        <v>Pago</v>
      </c>
    </row>
    <row r="43" spans="1:10" ht="21" customHeight="1" x14ac:dyDescent="0.2">
      <c r="A43" s="28" t="s">
        <v>31</v>
      </c>
      <c r="B43" s="29" t="s">
        <v>55</v>
      </c>
      <c r="C43" s="29" t="s">
        <v>13</v>
      </c>
      <c r="D43" s="48" t="str">
        <f>IFERROR(VLOOKUP(Tabela1[[#This Row],[Tag]],TAGS!$J$1:$K$9,2,0),"")</f>
        <v>Essencial</v>
      </c>
      <c r="E43" s="29" t="s">
        <v>17</v>
      </c>
      <c r="F43" s="30">
        <v>35</v>
      </c>
      <c r="G43" s="31">
        <v>45271</v>
      </c>
      <c r="H43" s="31">
        <v>45271</v>
      </c>
      <c r="I43" s="4" t="str">
        <f t="shared" si="0"/>
        <v>dezembro</v>
      </c>
      <c r="J43" s="5" t="str">
        <f>IF(Tabela1[[#This Row],[Caixa]]="Receita","Recebido",IF(G43="","",IF(H43="","",IF(H43&gt;G43,"Pago atrasado",IF(H43&lt;=G43,"Pago","Aguardando")))))</f>
        <v>Pago</v>
      </c>
    </row>
    <row r="44" spans="1:10" ht="21" customHeight="1" x14ac:dyDescent="0.2">
      <c r="A44" s="28" t="s">
        <v>20</v>
      </c>
      <c r="B44" s="29" t="s">
        <v>55</v>
      </c>
      <c r="C44" s="29" t="s">
        <v>15</v>
      </c>
      <c r="D44" s="48" t="str">
        <f>IFERROR(VLOOKUP(Tabela1[[#This Row],[Tag]],TAGS!$J$1:$K$9,2,0),"")</f>
        <v>Não essencial</v>
      </c>
      <c r="E44" s="29" t="s">
        <v>17</v>
      </c>
      <c r="F44" s="30">
        <v>17</v>
      </c>
      <c r="G44" s="31">
        <v>45271</v>
      </c>
      <c r="H44" s="31">
        <v>45271</v>
      </c>
      <c r="I44" s="4" t="str">
        <f t="shared" si="0"/>
        <v>dezembro</v>
      </c>
      <c r="J44" s="5" t="str">
        <f>IF(Tabela1[[#This Row],[Caixa]]="Receita","Recebido",IF(G44="","",IF(H44="","",IF(H44&gt;G44,"Pago atrasado",IF(H44&lt;=G44,"Pago","Aguardando")))))</f>
        <v>Pago</v>
      </c>
    </row>
    <row r="45" spans="1:10" ht="21" customHeight="1" x14ac:dyDescent="0.2">
      <c r="A45" s="28" t="s">
        <v>20</v>
      </c>
      <c r="B45" s="29" t="s">
        <v>55</v>
      </c>
      <c r="C45" s="29" t="s">
        <v>15</v>
      </c>
      <c r="D45" s="48" t="str">
        <f>IFERROR(VLOOKUP(Tabela1[[#This Row],[Tag]],TAGS!$J$1:$K$9,2,0),"")</f>
        <v>Não essencial</v>
      </c>
      <c r="E45" s="29" t="s">
        <v>17</v>
      </c>
      <c r="F45" s="30">
        <v>21</v>
      </c>
      <c r="G45" s="31">
        <v>45271</v>
      </c>
      <c r="H45" s="31">
        <v>45271</v>
      </c>
      <c r="I45" s="4" t="str">
        <f t="shared" si="0"/>
        <v>dezembro</v>
      </c>
      <c r="J45" s="5" t="str">
        <f>IF(Tabela1[[#This Row],[Caixa]]="Receita","Recebido",IF(G45="","",IF(H45="","",IF(H45&gt;G45,"Pago atrasado",IF(H45&lt;=G45,"Pago","Aguardando")))))</f>
        <v>Pago</v>
      </c>
    </row>
    <row r="46" spans="1:10" ht="21" customHeight="1" x14ac:dyDescent="0.2">
      <c r="A46" s="28" t="s">
        <v>20</v>
      </c>
      <c r="B46" s="29" t="s">
        <v>55</v>
      </c>
      <c r="C46" s="29" t="s">
        <v>15</v>
      </c>
      <c r="D46" s="48" t="str">
        <f>IFERROR(VLOOKUP(Tabela1[[#This Row],[Tag]],TAGS!$J$1:$K$9,2,0),"")</f>
        <v>Não essencial</v>
      </c>
      <c r="E46" s="29" t="s">
        <v>17</v>
      </c>
      <c r="F46" s="30">
        <v>11</v>
      </c>
      <c r="G46" s="31">
        <v>45271</v>
      </c>
      <c r="H46" s="31">
        <v>45271</v>
      </c>
      <c r="I46" s="4" t="str">
        <f t="shared" si="0"/>
        <v>dezembro</v>
      </c>
      <c r="J46" s="5" t="str">
        <f>IF(Tabela1[[#This Row],[Caixa]]="Receita","Recebido",IF(G46="","",IF(H46="","",IF(H46&gt;G46,"Pago atrasado",IF(H46&lt;=G46,"Pago","Aguardando")))))</f>
        <v>Pago</v>
      </c>
    </row>
    <row r="47" spans="1:10" ht="21" customHeight="1" x14ac:dyDescent="0.2">
      <c r="A47" s="28" t="s">
        <v>21</v>
      </c>
      <c r="B47" s="29" t="s">
        <v>55</v>
      </c>
      <c r="C47" s="29" t="s">
        <v>14</v>
      </c>
      <c r="D47" s="48" t="str">
        <f>IFERROR(VLOOKUP(Tabela1[[#This Row],[Tag]],TAGS!$J$1:$K$9,2,0),"")</f>
        <v>Essencial</v>
      </c>
      <c r="E47" s="29" t="s">
        <v>17</v>
      </c>
      <c r="F47" s="30">
        <v>10.4</v>
      </c>
      <c r="G47" s="31">
        <v>45271</v>
      </c>
      <c r="H47" s="31">
        <v>45271</v>
      </c>
      <c r="I47" s="4" t="str">
        <f t="shared" si="0"/>
        <v>dezembro</v>
      </c>
      <c r="J47" s="5" t="str">
        <f>IF(Tabela1[[#This Row],[Caixa]]="Receita","Recebido",IF(G47="","",IF(H47="","",IF(H47&gt;G47,"Pago atrasado",IF(H47&lt;=G47,"Pago","Aguardando")))))</f>
        <v>Pago</v>
      </c>
    </row>
    <row r="48" spans="1:10" ht="21" customHeight="1" x14ac:dyDescent="0.2">
      <c r="A48" s="28" t="s">
        <v>21</v>
      </c>
      <c r="B48" s="29" t="s">
        <v>55</v>
      </c>
      <c r="C48" s="29" t="s">
        <v>14</v>
      </c>
      <c r="D48" s="48" t="str">
        <f>IFERROR(VLOOKUP(Tabela1[[#This Row],[Tag]],TAGS!$J$1:$K$9,2,0),"")</f>
        <v>Essencial</v>
      </c>
      <c r="E48" s="29" t="s">
        <v>17</v>
      </c>
      <c r="F48" s="30">
        <v>18.41</v>
      </c>
      <c r="G48" s="31">
        <v>45271</v>
      </c>
      <c r="H48" s="31">
        <v>45271</v>
      </c>
      <c r="I48" s="4" t="str">
        <f t="shared" si="0"/>
        <v>dezembro</v>
      </c>
      <c r="J48" s="5" t="str">
        <f>IF(Tabela1[[#This Row],[Caixa]]="Receita","Recebido",IF(G48="","",IF(H48="","",IF(H48&gt;G48,"Pago atrasado",IF(H48&lt;=G48,"Pago","Aguardando")))))</f>
        <v>Pago</v>
      </c>
    </row>
    <row r="49" spans="1:10" ht="21" customHeight="1" x14ac:dyDescent="0.2">
      <c r="A49" s="28" t="s">
        <v>21</v>
      </c>
      <c r="B49" s="29" t="s">
        <v>55</v>
      </c>
      <c r="C49" s="29" t="s">
        <v>14</v>
      </c>
      <c r="D49" s="48" t="str">
        <f>IFERROR(VLOOKUP(Tabela1[[#This Row],[Tag]],TAGS!$J$1:$K$9,2,0),"")</f>
        <v>Essencial</v>
      </c>
      <c r="E49" s="29" t="s">
        <v>17</v>
      </c>
      <c r="F49" s="30">
        <v>9.6</v>
      </c>
      <c r="G49" s="31">
        <v>45271</v>
      </c>
      <c r="H49" s="31">
        <v>45271</v>
      </c>
      <c r="I49" s="4" t="str">
        <f t="shared" si="0"/>
        <v>dezembro</v>
      </c>
      <c r="J49" s="5" t="str">
        <f>IF(Tabela1[[#This Row],[Caixa]]="Receita","Recebido",IF(G49="","",IF(H49="","",IF(H49&gt;G49,"Pago atrasado",IF(H49&lt;=G49,"Pago","Aguardando")))))</f>
        <v>Pago</v>
      </c>
    </row>
    <row r="50" spans="1:10" ht="21" customHeight="1" x14ac:dyDescent="0.2">
      <c r="A50" s="28" t="s">
        <v>41</v>
      </c>
      <c r="B50" s="29" t="s">
        <v>55</v>
      </c>
      <c r="C50" s="29" t="s">
        <v>35</v>
      </c>
      <c r="D50" s="48" t="str">
        <f>IFERROR(VLOOKUP(Tabela1[[#This Row],[Tag]],TAGS!$J$1:$K$9,2,0),"")</f>
        <v>Não essencial</v>
      </c>
      <c r="E50" s="29" t="s">
        <v>17</v>
      </c>
      <c r="F50" s="30">
        <v>10</v>
      </c>
      <c r="G50" s="31">
        <v>45271</v>
      </c>
      <c r="H50" s="31">
        <v>45271</v>
      </c>
      <c r="I50" s="4" t="str">
        <f t="shared" si="0"/>
        <v>dezembro</v>
      </c>
      <c r="J50" s="5" t="str">
        <f>IF(Tabela1[[#This Row],[Caixa]]="Receita","Recebido",IF(G50="","",IF(H50="","",IF(H50&gt;G50,"Pago atrasado",IF(H50&lt;=G50,"Pago","Aguardando")))))</f>
        <v>Pago</v>
      </c>
    </row>
    <row r="51" spans="1:10" ht="21" customHeight="1" x14ac:dyDescent="0.2">
      <c r="A51" s="28" t="s">
        <v>20</v>
      </c>
      <c r="B51" s="29" t="s">
        <v>55</v>
      </c>
      <c r="C51" s="29" t="s">
        <v>15</v>
      </c>
      <c r="D51" s="48" t="str">
        <f>IFERROR(VLOOKUP(Tabela1[[#This Row],[Tag]],TAGS!$J$1:$K$9,2,0),"")</f>
        <v>Não essencial</v>
      </c>
      <c r="E51" s="29" t="s">
        <v>17</v>
      </c>
      <c r="F51" s="30">
        <v>11.97</v>
      </c>
      <c r="G51" s="31">
        <v>45271</v>
      </c>
      <c r="H51" s="31">
        <v>45271</v>
      </c>
      <c r="I51" s="4" t="str">
        <f t="shared" si="0"/>
        <v>dezembro</v>
      </c>
      <c r="J51" s="5" t="str">
        <f>IF(Tabela1[[#This Row],[Caixa]]="Receita","Recebido",IF(G51="","",IF(H51="","",IF(H51&gt;G51,"Pago atrasado",IF(H51&lt;=G51,"Pago","Aguardando")))))</f>
        <v>Pago</v>
      </c>
    </row>
    <row r="52" spans="1:10" ht="21" customHeight="1" x14ac:dyDescent="0.2">
      <c r="A52" s="28" t="s">
        <v>31</v>
      </c>
      <c r="B52" s="29" t="s">
        <v>55</v>
      </c>
      <c r="C52" s="29" t="s">
        <v>13</v>
      </c>
      <c r="D52" s="48" t="str">
        <f>IFERROR(VLOOKUP(Tabela1[[#This Row],[Tag]],TAGS!$J$1:$K$9,2,0),"")</f>
        <v>Essencial</v>
      </c>
      <c r="E52" s="29" t="s">
        <v>17</v>
      </c>
      <c r="F52" s="30">
        <v>25.23</v>
      </c>
      <c r="G52" s="31">
        <v>45272</v>
      </c>
      <c r="H52" s="31">
        <v>45272</v>
      </c>
      <c r="I52" s="4" t="str">
        <f t="shared" si="0"/>
        <v>dezembro</v>
      </c>
      <c r="J52" s="5" t="str">
        <f>IF(Tabela1[[#This Row],[Caixa]]="Receita","Recebido",IF(G52="","",IF(H52="","",IF(H52&gt;G52,"Pago atrasado",IF(H52&lt;=G52,"Pago","Aguardando")))))</f>
        <v>Pago</v>
      </c>
    </row>
    <row r="53" spans="1:10" ht="21" customHeight="1" x14ac:dyDescent="0.2">
      <c r="A53" s="28" t="s">
        <v>21</v>
      </c>
      <c r="B53" s="29" t="s">
        <v>55</v>
      </c>
      <c r="C53" s="29" t="s">
        <v>14</v>
      </c>
      <c r="D53" s="48" t="str">
        <f>IFERROR(VLOOKUP(Tabela1[[#This Row],[Tag]],TAGS!$J$1:$K$9,2,0),"")</f>
        <v>Essencial</v>
      </c>
      <c r="E53" s="29" t="s">
        <v>17</v>
      </c>
      <c r="F53" s="30">
        <v>13.3</v>
      </c>
      <c r="G53" s="31">
        <v>45272</v>
      </c>
      <c r="H53" s="31">
        <v>45272</v>
      </c>
      <c r="I53" s="4" t="str">
        <f t="shared" si="0"/>
        <v>dezembro</v>
      </c>
      <c r="J53" s="5" t="str">
        <f>IF(Tabela1[[#This Row],[Caixa]]="Receita","Recebido",IF(G53="","",IF(H53="","",IF(H53&gt;G53,"Pago atrasado",IF(H53&lt;=G53,"Pago","Aguardando")))))</f>
        <v>Pago</v>
      </c>
    </row>
    <row r="54" spans="1:10" ht="21" customHeight="1" x14ac:dyDescent="0.2">
      <c r="A54" s="28" t="s">
        <v>21</v>
      </c>
      <c r="B54" s="29" t="s">
        <v>55</v>
      </c>
      <c r="C54" s="29" t="s">
        <v>14</v>
      </c>
      <c r="D54" s="48" t="str">
        <f>IFERROR(VLOOKUP(Tabela1[[#This Row],[Tag]],TAGS!$J$1:$K$9,2,0),"")</f>
        <v>Essencial</v>
      </c>
      <c r="E54" s="29" t="s">
        <v>17</v>
      </c>
      <c r="F54" s="30">
        <v>14.8</v>
      </c>
      <c r="G54" s="31">
        <v>45272</v>
      </c>
      <c r="H54" s="31">
        <v>45272</v>
      </c>
      <c r="I54" s="4" t="str">
        <f t="shared" si="0"/>
        <v>dezembro</v>
      </c>
      <c r="J54" s="5" t="str">
        <f>IF(Tabela1[[#This Row],[Caixa]]="Receita","Recebido",IF(G54="","",IF(H54="","",IF(H54&gt;G54,"Pago atrasado",IF(H54&lt;=G54,"Pago","Aguardando")))))</f>
        <v>Pago</v>
      </c>
    </row>
    <row r="55" spans="1:10" ht="21" customHeight="1" x14ac:dyDescent="0.2">
      <c r="A55" s="28" t="s">
        <v>42</v>
      </c>
      <c r="B55" s="29" t="s">
        <v>55</v>
      </c>
      <c r="C55" s="29" t="s">
        <v>15</v>
      </c>
      <c r="D55" s="48" t="str">
        <f>IFERROR(VLOOKUP(Tabela1[[#This Row],[Tag]],TAGS!$J$1:$K$9,2,0),"")</f>
        <v>Não essencial</v>
      </c>
      <c r="E55" s="29" t="s">
        <v>17</v>
      </c>
      <c r="F55" s="30">
        <v>2</v>
      </c>
      <c r="G55" s="31">
        <v>45273</v>
      </c>
      <c r="H55" s="31">
        <v>45273</v>
      </c>
      <c r="I55" s="4" t="str">
        <f t="shared" si="0"/>
        <v>dezembro</v>
      </c>
      <c r="J55" s="5" t="str">
        <f>IF(Tabela1[[#This Row],[Caixa]]="Receita","Recebido",IF(G55="","",IF(H55="","",IF(H55&gt;G55,"Pago atrasado",IF(H55&lt;=G55,"Pago","Aguardando")))))</f>
        <v>Pago</v>
      </c>
    </row>
    <row r="56" spans="1:10" ht="21" customHeight="1" x14ac:dyDescent="0.2">
      <c r="A56" s="28" t="s">
        <v>20</v>
      </c>
      <c r="B56" s="29" t="s">
        <v>55</v>
      </c>
      <c r="C56" s="29" t="s">
        <v>15</v>
      </c>
      <c r="D56" s="48" t="str">
        <f>IFERROR(VLOOKUP(Tabela1[[#This Row],[Tag]],TAGS!$J$1:$K$9,2,0),"")</f>
        <v>Não essencial</v>
      </c>
      <c r="E56" s="29" t="s">
        <v>17</v>
      </c>
      <c r="F56" s="30">
        <v>7.98</v>
      </c>
      <c r="G56" s="31">
        <v>45273</v>
      </c>
      <c r="H56" s="31">
        <v>45273</v>
      </c>
      <c r="I56" s="4" t="str">
        <f t="shared" si="0"/>
        <v>dezembro</v>
      </c>
      <c r="J56" s="5" t="str">
        <f>IF(Tabela1[[#This Row],[Caixa]]="Receita","Recebido",IF(G56="","",IF(H56="","",IF(H56&gt;G56,"Pago atrasado",IF(H56&lt;=G56,"Pago","Aguardando")))))</f>
        <v>Pago</v>
      </c>
    </row>
    <row r="57" spans="1:10" ht="21" customHeight="1" x14ac:dyDescent="0.2">
      <c r="A57" s="28" t="s">
        <v>43</v>
      </c>
      <c r="B57" s="29" t="s">
        <v>55</v>
      </c>
      <c r="C57" s="29" t="s">
        <v>15</v>
      </c>
      <c r="D57" s="48" t="str">
        <f>IFERROR(VLOOKUP(Tabela1[[#This Row],[Tag]],TAGS!$J$1:$K$9,2,0),"")</f>
        <v>Não essencial</v>
      </c>
      <c r="E57" s="29" t="s">
        <v>17</v>
      </c>
      <c r="F57" s="30">
        <v>20</v>
      </c>
      <c r="G57" s="31">
        <v>45273</v>
      </c>
      <c r="H57" s="31">
        <v>45273</v>
      </c>
      <c r="I57" s="4" t="str">
        <f t="shared" si="0"/>
        <v>dezembro</v>
      </c>
      <c r="J57" s="5" t="str">
        <f>IF(Tabela1[[#This Row],[Caixa]]="Receita","Recebido",IF(G57="","",IF(H57="","",IF(H57&gt;G57,"Pago atrasado",IF(H57&lt;=G57,"Pago","Aguardando")))))</f>
        <v>Pago</v>
      </c>
    </row>
    <row r="58" spans="1:10" ht="21" customHeight="1" x14ac:dyDescent="0.2">
      <c r="A58" s="28" t="s">
        <v>21</v>
      </c>
      <c r="B58" s="29" t="s">
        <v>55</v>
      </c>
      <c r="C58" s="29" t="s">
        <v>14</v>
      </c>
      <c r="D58" s="48" t="str">
        <f>IFERROR(VLOOKUP(Tabela1[[#This Row],[Tag]],TAGS!$J$1:$K$9,2,0),"")</f>
        <v>Essencial</v>
      </c>
      <c r="E58" s="29" t="s">
        <v>17</v>
      </c>
      <c r="F58" s="30">
        <v>13.1</v>
      </c>
      <c r="G58" s="31">
        <v>45273</v>
      </c>
      <c r="H58" s="31">
        <v>45273</v>
      </c>
      <c r="I58" s="4" t="str">
        <f t="shared" si="0"/>
        <v>dezembro</v>
      </c>
      <c r="J58" s="5" t="str">
        <f>IF(Tabela1[[#This Row],[Caixa]]="Receita","Recebido",IF(G58="","",IF(H58="","",IF(H58&gt;G58,"Pago atrasado",IF(H58&lt;=G58,"Pago","Aguardando")))))</f>
        <v>Pago</v>
      </c>
    </row>
    <row r="59" spans="1:10" ht="21" customHeight="1" x14ac:dyDescent="0.2">
      <c r="A59" s="28" t="s">
        <v>21</v>
      </c>
      <c r="B59" s="29" t="s">
        <v>55</v>
      </c>
      <c r="C59" s="29" t="s">
        <v>14</v>
      </c>
      <c r="D59" s="48" t="str">
        <f>IFERROR(VLOOKUP(Tabela1[[#This Row],[Tag]],TAGS!$J$1:$K$9,2,0),"")</f>
        <v>Essencial</v>
      </c>
      <c r="E59" s="29" t="s">
        <v>17</v>
      </c>
      <c r="F59" s="30">
        <v>13.2</v>
      </c>
      <c r="G59" s="31">
        <v>45273</v>
      </c>
      <c r="H59" s="31">
        <v>45273</v>
      </c>
      <c r="I59" s="4" t="str">
        <f t="shared" si="0"/>
        <v>dezembro</v>
      </c>
      <c r="J59" s="5" t="str">
        <f>IF(Tabela1[[#This Row],[Caixa]]="Receita","Recebido",IF(G59="","",IF(H59="","",IF(H59&gt;G59,"Pago atrasado",IF(H59&lt;=G59,"Pago","Aguardando")))))</f>
        <v>Pago</v>
      </c>
    </row>
    <row r="60" spans="1:10" ht="21" customHeight="1" x14ac:dyDescent="0.2">
      <c r="A60" s="28" t="s">
        <v>21</v>
      </c>
      <c r="B60" s="29" t="s">
        <v>55</v>
      </c>
      <c r="C60" s="29" t="s">
        <v>14</v>
      </c>
      <c r="D60" s="48" t="str">
        <f>IFERROR(VLOOKUP(Tabela1[[#This Row],[Tag]],TAGS!$J$1:$K$9,2,0),"")</f>
        <v>Essencial</v>
      </c>
      <c r="E60" s="29" t="s">
        <v>17</v>
      </c>
      <c r="F60" s="30">
        <v>11.9</v>
      </c>
      <c r="G60" s="31">
        <v>45274</v>
      </c>
      <c r="H60" s="31">
        <v>45274</v>
      </c>
      <c r="I60" s="4" t="str">
        <f t="shared" si="0"/>
        <v>dezembro</v>
      </c>
      <c r="J60" s="5" t="str">
        <f>IF(Tabela1[[#This Row],[Caixa]]="Receita","Recebido",IF(G60="","",IF(H60="","",IF(H60&gt;G60,"Pago atrasado",IF(H60&lt;=G60,"Pago","Aguardando")))))</f>
        <v>Pago</v>
      </c>
    </row>
    <row r="61" spans="1:10" ht="21" customHeight="1" x14ac:dyDescent="0.2">
      <c r="A61" s="28" t="s">
        <v>21</v>
      </c>
      <c r="B61" s="29" t="s">
        <v>55</v>
      </c>
      <c r="C61" s="29" t="s">
        <v>14</v>
      </c>
      <c r="D61" s="48" t="str">
        <f>IFERROR(VLOOKUP(Tabela1[[#This Row],[Tag]],TAGS!$J$1:$K$9,2,0),"")</f>
        <v>Essencial</v>
      </c>
      <c r="E61" s="29" t="s">
        <v>17</v>
      </c>
      <c r="F61" s="30">
        <v>12.7</v>
      </c>
      <c r="G61" s="31">
        <v>45274</v>
      </c>
      <c r="H61" s="31">
        <v>45274</v>
      </c>
      <c r="I61" s="4" t="str">
        <f t="shared" si="0"/>
        <v>dezembro</v>
      </c>
      <c r="J61" s="5" t="str">
        <f>IF(Tabela1[[#This Row],[Caixa]]="Receita","Recebido",IF(G61="","",IF(H61="","",IF(H61&gt;G61,"Pago atrasado",IF(H61&lt;=G61,"Pago","Aguardando")))))</f>
        <v>Pago</v>
      </c>
    </row>
    <row r="62" spans="1:10" ht="21" customHeight="1" x14ac:dyDescent="0.2">
      <c r="A62" s="28" t="s">
        <v>20</v>
      </c>
      <c r="B62" s="29" t="s">
        <v>55</v>
      </c>
      <c r="C62" s="29" t="s">
        <v>15</v>
      </c>
      <c r="D62" s="48" t="str">
        <f>IFERROR(VLOOKUP(Tabela1[[#This Row],[Tag]],TAGS!$J$1:$K$9,2,0),"")</f>
        <v>Não essencial</v>
      </c>
      <c r="E62" s="29" t="s">
        <v>17</v>
      </c>
      <c r="F62" s="30">
        <v>21.68</v>
      </c>
      <c r="G62" s="31">
        <v>45275</v>
      </c>
      <c r="H62" s="31">
        <v>45275</v>
      </c>
      <c r="I62" s="4" t="str">
        <f t="shared" si="0"/>
        <v>dezembro</v>
      </c>
      <c r="J62" s="5" t="str">
        <f>IF(Tabela1[[#This Row],[Caixa]]="Receita","Recebido",IF(G62="","",IF(H62="","",IF(H62&gt;G62,"Pago atrasado",IF(H62&lt;=G62,"Pago","Aguardando")))))</f>
        <v>Pago</v>
      </c>
    </row>
    <row r="63" spans="1:10" ht="21" customHeight="1" x14ac:dyDescent="0.2">
      <c r="A63" s="28" t="s">
        <v>21</v>
      </c>
      <c r="B63" s="29" t="s">
        <v>55</v>
      </c>
      <c r="C63" s="29" t="s">
        <v>14</v>
      </c>
      <c r="D63" s="48" t="str">
        <f>IFERROR(VLOOKUP(Tabela1[[#This Row],[Tag]],TAGS!$J$1:$K$9,2,0),"")</f>
        <v>Essencial</v>
      </c>
      <c r="E63" s="29" t="s">
        <v>17</v>
      </c>
      <c r="F63" s="30">
        <v>16.399999999999999</v>
      </c>
      <c r="G63" s="31">
        <v>45275</v>
      </c>
      <c r="H63" s="31">
        <v>45275</v>
      </c>
      <c r="I63" s="4" t="str">
        <f t="shared" si="0"/>
        <v>dezembro</v>
      </c>
      <c r="J63" s="5" t="str">
        <f>IF(Tabela1[[#This Row],[Caixa]]="Receita","Recebido",IF(G63="","",IF(H63="","",IF(H63&gt;G63,"Pago atrasado",IF(H63&lt;=G63,"Pago","Aguardando")))))</f>
        <v>Pago</v>
      </c>
    </row>
    <row r="64" spans="1:10" ht="21" customHeight="1" x14ac:dyDescent="0.2">
      <c r="A64" s="28" t="s">
        <v>21</v>
      </c>
      <c r="B64" s="29" t="s">
        <v>55</v>
      </c>
      <c r="C64" s="29" t="s">
        <v>14</v>
      </c>
      <c r="D64" s="48" t="str">
        <f>IFERROR(VLOOKUP(Tabela1[[#This Row],[Tag]],TAGS!$J$1:$K$9,2,0),"")</f>
        <v>Essencial</v>
      </c>
      <c r="E64" s="29" t="s">
        <v>17</v>
      </c>
      <c r="F64" s="30">
        <v>12.8</v>
      </c>
      <c r="G64" s="31">
        <v>45275</v>
      </c>
      <c r="H64" s="31">
        <v>45275</v>
      </c>
      <c r="I64" s="4" t="str">
        <f t="shared" si="0"/>
        <v>dezembro</v>
      </c>
      <c r="J64" s="5" t="str">
        <f>IF(Tabela1[[#This Row],[Caixa]]="Receita","Recebido",IF(G64="","",IF(H64="","",IF(H64&gt;G64,"Pago atrasado",IF(H64&lt;=G64,"Pago","Aguardando")))))</f>
        <v>Pago</v>
      </c>
    </row>
    <row r="65" spans="1:10" ht="21" customHeight="1" x14ac:dyDescent="0.2">
      <c r="A65" s="28" t="s">
        <v>62</v>
      </c>
      <c r="B65" s="29" t="s">
        <v>55</v>
      </c>
      <c r="C65" s="29" t="s">
        <v>35</v>
      </c>
      <c r="D65" s="48" t="str">
        <f>IFERROR(VLOOKUP(Tabela1[[#This Row],[Tag]],TAGS!$J$1:$K$9,2,0),"")</f>
        <v>Não essencial</v>
      </c>
      <c r="E65" s="29" t="s">
        <v>17</v>
      </c>
      <c r="F65" s="30">
        <v>16</v>
      </c>
      <c r="G65" s="31">
        <v>45275</v>
      </c>
      <c r="H65" s="31">
        <v>45275</v>
      </c>
      <c r="I65" s="4" t="str">
        <f t="shared" si="0"/>
        <v>dezembro</v>
      </c>
      <c r="J65" s="5" t="str">
        <f>IF(Tabela1[[#This Row],[Caixa]]="Receita","Recebido",IF(G65="","",IF(H65="","",IF(H65&gt;G65,"Pago atrasado",IF(H65&lt;=G65,"Pago","Aguardando")))))</f>
        <v>Pago</v>
      </c>
    </row>
    <row r="66" spans="1:10" ht="21" customHeight="1" x14ac:dyDescent="0.2">
      <c r="A66" s="28" t="s">
        <v>44</v>
      </c>
      <c r="B66" s="29" t="s">
        <v>55</v>
      </c>
      <c r="C66" s="29" t="s">
        <v>35</v>
      </c>
      <c r="D66" s="48" t="str">
        <f>IFERROR(VLOOKUP(Tabela1[[#This Row],[Tag]],TAGS!$J$1:$K$9,2,0),"")</f>
        <v>Não essencial</v>
      </c>
      <c r="E66" s="29" t="s">
        <v>17</v>
      </c>
      <c r="F66" s="30">
        <v>12.5</v>
      </c>
      <c r="G66" s="31">
        <v>45278</v>
      </c>
      <c r="H66" s="31">
        <v>45278</v>
      </c>
      <c r="I66" s="4" t="str">
        <f t="shared" si="0"/>
        <v>dezembro</v>
      </c>
      <c r="J66" s="5" t="str">
        <f>IF(Tabela1[[#This Row],[Caixa]]="Receita","Recebido",IF(G66="","",IF(H66="","",IF(H66&gt;G66,"Pago atrasado",IF(H66&lt;=G66,"Pago","Aguardando")))))</f>
        <v>Pago</v>
      </c>
    </row>
    <row r="67" spans="1:10" ht="21" customHeight="1" x14ac:dyDescent="0.2">
      <c r="A67" s="28" t="s">
        <v>45</v>
      </c>
      <c r="B67" s="29" t="s">
        <v>55</v>
      </c>
      <c r="C67" s="29" t="s">
        <v>35</v>
      </c>
      <c r="D67" s="48" t="str">
        <f>IFERROR(VLOOKUP(Tabela1[[#This Row],[Tag]],TAGS!$J$1:$K$9,2,0),"")</f>
        <v>Não essencial</v>
      </c>
      <c r="E67" s="29" t="s">
        <v>17</v>
      </c>
      <c r="F67" s="30">
        <v>47.8</v>
      </c>
      <c r="G67" s="31">
        <v>45278</v>
      </c>
      <c r="H67" s="31">
        <v>45278</v>
      </c>
      <c r="I67" s="4" t="str">
        <f t="shared" si="0"/>
        <v>dezembro</v>
      </c>
      <c r="J67" s="5" t="str">
        <f>IF(Tabela1[[#This Row],[Caixa]]="Receita","Recebido",IF(G67="","",IF(H67="","",IF(H67&gt;G67,"Pago atrasado",IF(H67&lt;=G67,"Pago","Aguardando")))))</f>
        <v>Pago</v>
      </c>
    </row>
    <row r="68" spans="1:10" ht="21" customHeight="1" x14ac:dyDescent="0.2">
      <c r="A68" s="28" t="s">
        <v>46</v>
      </c>
      <c r="B68" s="29" t="s">
        <v>55</v>
      </c>
      <c r="C68" s="29" t="s">
        <v>15</v>
      </c>
      <c r="D68" s="48" t="str">
        <f>IFERROR(VLOOKUP(Tabela1[[#This Row],[Tag]],TAGS!$J$1:$K$9,2,0),"")</f>
        <v>Não essencial</v>
      </c>
      <c r="E68" s="29" t="s">
        <v>17</v>
      </c>
      <c r="F68" s="30">
        <v>12</v>
      </c>
      <c r="G68" s="31">
        <v>45278</v>
      </c>
      <c r="H68" s="31">
        <v>45278</v>
      </c>
      <c r="I68" s="4" t="str">
        <f t="shared" ref="I68:I110" si="1">IF(G68="","",TEXT(G68,"mmmm"))</f>
        <v>dezembro</v>
      </c>
      <c r="J68" s="5" t="str">
        <f>IF(Tabela1[[#This Row],[Caixa]]="Receita","Recebido",IF(G68="","",IF(H68="","",IF(H68&gt;G68,"Pago atrasado",IF(H68&lt;=G68,"Pago","Aguardando")))))</f>
        <v>Pago</v>
      </c>
    </row>
    <row r="69" spans="1:10" ht="21" customHeight="1" x14ac:dyDescent="0.2">
      <c r="A69" s="28" t="s">
        <v>20</v>
      </c>
      <c r="B69" s="29" t="s">
        <v>55</v>
      </c>
      <c r="C69" s="29" t="s">
        <v>15</v>
      </c>
      <c r="D69" s="48" t="str">
        <f>IFERROR(VLOOKUP(Tabela1[[#This Row],[Tag]],TAGS!$J$1:$K$9,2,0),"")</f>
        <v>Não essencial</v>
      </c>
      <c r="E69" s="29" t="s">
        <v>17</v>
      </c>
      <c r="F69" s="30">
        <v>23.95</v>
      </c>
      <c r="G69" s="31">
        <v>45278</v>
      </c>
      <c r="H69" s="31">
        <v>45278</v>
      </c>
      <c r="I69" s="4" t="str">
        <f t="shared" si="1"/>
        <v>dezembro</v>
      </c>
      <c r="J69" s="5" t="str">
        <f>IF(Tabela1[[#This Row],[Caixa]]="Receita","Recebido",IF(G69="","",IF(H69="","",IF(H69&gt;G69,"Pago atrasado",IF(H69&lt;=G69,"Pago","Aguardando")))))</f>
        <v>Pago</v>
      </c>
    </row>
    <row r="70" spans="1:10" ht="21" customHeight="1" x14ac:dyDescent="0.2">
      <c r="A70" s="28" t="s">
        <v>20</v>
      </c>
      <c r="B70" s="29" t="s">
        <v>55</v>
      </c>
      <c r="C70" s="29" t="s">
        <v>15</v>
      </c>
      <c r="D70" s="48" t="str">
        <f>IFERROR(VLOOKUP(Tabela1[[#This Row],[Tag]],TAGS!$J$1:$K$9,2,0),"")</f>
        <v>Não essencial</v>
      </c>
      <c r="E70" s="29" t="s">
        <v>17</v>
      </c>
      <c r="F70" s="30">
        <v>13.99</v>
      </c>
      <c r="G70" s="31">
        <v>45278</v>
      </c>
      <c r="H70" s="31">
        <v>45278</v>
      </c>
      <c r="I70" s="4" t="str">
        <f t="shared" si="1"/>
        <v>dezembro</v>
      </c>
      <c r="J70" s="5" t="str">
        <f>IF(Tabela1[[#This Row],[Caixa]]="Receita","Recebido",IF(G70="","",IF(H70="","",IF(H70&gt;G70,"Pago atrasado",IF(H70&lt;=G70,"Pago","Aguardando")))))</f>
        <v>Pago</v>
      </c>
    </row>
    <row r="71" spans="1:10" ht="21" customHeight="1" x14ac:dyDescent="0.2">
      <c r="A71" s="28" t="s">
        <v>20</v>
      </c>
      <c r="B71" s="29" t="s">
        <v>55</v>
      </c>
      <c r="C71" s="29" t="s">
        <v>15</v>
      </c>
      <c r="D71" s="48" t="str">
        <f>IFERROR(VLOOKUP(Tabela1[[#This Row],[Tag]],TAGS!$J$1:$K$9,2,0),"")</f>
        <v>Não essencial</v>
      </c>
      <c r="E71" s="29" t="s">
        <v>17</v>
      </c>
      <c r="F71" s="30">
        <v>7.98</v>
      </c>
      <c r="G71" s="31">
        <v>45278</v>
      </c>
      <c r="H71" s="31">
        <v>45278</v>
      </c>
      <c r="I71" s="4" t="str">
        <f t="shared" si="1"/>
        <v>dezembro</v>
      </c>
      <c r="J71" s="5" t="str">
        <f>IF(Tabela1[[#This Row],[Caixa]]="Receita","Recebido",IF(G71="","",IF(H71="","",IF(H71&gt;G71,"Pago atrasado",IF(H71&lt;=G71,"Pago","Aguardando")))))</f>
        <v>Pago</v>
      </c>
    </row>
    <row r="72" spans="1:10" ht="21" customHeight="1" x14ac:dyDescent="0.2">
      <c r="A72" s="28" t="s">
        <v>20</v>
      </c>
      <c r="B72" s="29" t="s">
        <v>55</v>
      </c>
      <c r="C72" s="29" t="s">
        <v>15</v>
      </c>
      <c r="D72" s="48" t="str">
        <f>IFERROR(VLOOKUP(Tabela1[[#This Row],[Tag]],TAGS!$J$1:$K$9,2,0),"")</f>
        <v>Não essencial</v>
      </c>
      <c r="E72" s="29" t="s">
        <v>17</v>
      </c>
      <c r="F72" s="30">
        <v>15.96</v>
      </c>
      <c r="G72" s="31">
        <v>45278</v>
      </c>
      <c r="H72" s="31">
        <v>45278</v>
      </c>
      <c r="I72" s="4" t="str">
        <f t="shared" si="1"/>
        <v>dezembro</v>
      </c>
      <c r="J72" s="5" t="str">
        <f>IF(Tabela1[[#This Row],[Caixa]]="Receita","Recebido",IF(G72="","",IF(H72="","",IF(H72&gt;G72,"Pago atrasado",IF(H72&lt;=G72,"Pago","Aguardando")))))</f>
        <v>Pago</v>
      </c>
    </row>
    <row r="73" spans="1:10" ht="21" customHeight="1" x14ac:dyDescent="0.2">
      <c r="A73" s="28" t="s">
        <v>20</v>
      </c>
      <c r="B73" s="29" t="s">
        <v>55</v>
      </c>
      <c r="C73" s="29" t="s">
        <v>15</v>
      </c>
      <c r="D73" s="48" t="str">
        <f>IFERROR(VLOOKUP(Tabela1[[#This Row],[Tag]],TAGS!$J$1:$K$9,2,0),"")</f>
        <v>Não essencial</v>
      </c>
      <c r="E73" s="29" t="s">
        <v>17</v>
      </c>
      <c r="F73" s="30">
        <v>4.45</v>
      </c>
      <c r="G73" s="31">
        <v>45278</v>
      </c>
      <c r="H73" s="31">
        <v>45278</v>
      </c>
      <c r="I73" s="4" t="str">
        <f t="shared" si="1"/>
        <v>dezembro</v>
      </c>
      <c r="J73" s="5" t="str">
        <f>IF(Tabela1[[#This Row],[Caixa]]="Receita","Recebido",IF(G73="","",IF(H73="","",IF(H73&gt;G73,"Pago atrasado",IF(H73&lt;=G73,"Pago","Aguardando")))))</f>
        <v>Pago</v>
      </c>
    </row>
    <row r="74" spans="1:10" ht="21" customHeight="1" x14ac:dyDescent="0.2">
      <c r="A74" s="28" t="s">
        <v>16</v>
      </c>
      <c r="B74" s="29" t="s">
        <v>55</v>
      </c>
      <c r="C74" s="29" t="s">
        <v>14</v>
      </c>
      <c r="D74" s="48" t="str">
        <f>IFERROR(VLOOKUP(Tabela1[[#This Row],[Tag]],TAGS!$J$1:$K$9,2,0),"")</f>
        <v>Essencial</v>
      </c>
      <c r="E74" s="29" t="s">
        <v>17</v>
      </c>
      <c r="F74" s="30">
        <v>14.97</v>
      </c>
      <c r="G74" s="31">
        <v>45278</v>
      </c>
      <c r="H74" s="31">
        <v>45278</v>
      </c>
      <c r="I74" s="4" t="str">
        <f t="shared" si="1"/>
        <v>dezembro</v>
      </c>
      <c r="J74" s="5" t="str">
        <f>IF(Tabela1[[#This Row],[Caixa]]="Receita","Recebido",IF(G74="","",IF(H74="","",IF(H74&gt;G74,"Pago atrasado",IF(H74&lt;=G74,"Pago","Aguardando")))))</f>
        <v>Pago</v>
      </c>
    </row>
    <row r="75" spans="1:10" ht="21" customHeight="1" x14ac:dyDescent="0.2">
      <c r="A75" s="28" t="s">
        <v>31</v>
      </c>
      <c r="B75" s="29" t="s">
        <v>55</v>
      </c>
      <c r="C75" s="29" t="s">
        <v>13</v>
      </c>
      <c r="D75" s="48" t="str">
        <f>IFERROR(VLOOKUP(Tabela1[[#This Row],[Tag]],TAGS!$J$1:$K$9,2,0),"")</f>
        <v>Essencial</v>
      </c>
      <c r="E75" s="29" t="s">
        <v>17</v>
      </c>
      <c r="F75" s="30">
        <v>51.84</v>
      </c>
      <c r="G75" s="31">
        <v>45278</v>
      </c>
      <c r="H75" s="31">
        <v>45278</v>
      </c>
      <c r="I75" s="4" t="str">
        <f t="shared" si="1"/>
        <v>dezembro</v>
      </c>
      <c r="J75" s="5" t="str">
        <f>IF(Tabela1[[#This Row],[Caixa]]="Receita","Recebido",IF(G75="","",IF(H75="","",IF(H75&gt;G75,"Pago atrasado",IF(H75&lt;=G75,"Pago","Aguardando")))))</f>
        <v>Pago</v>
      </c>
    </row>
    <row r="76" spans="1:10" ht="21" customHeight="1" x14ac:dyDescent="0.2">
      <c r="A76" s="28" t="s">
        <v>21</v>
      </c>
      <c r="B76" s="29" t="s">
        <v>55</v>
      </c>
      <c r="C76" s="29" t="s">
        <v>14</v>
      </c>
      <c r="D76" s="48" t="str">
        <f>IFERROR(VLOOKUP(Tabela1[[#This Row],[Tag]],TAGS!$J$1:$K$9,2,0),"")</f>
        <v>Essencial</v>
      </c>
      <c r="E76" s="29" t="s">
        <v>17</v>
      </c>
      <c r="F76" s="30">
        <v>11.6</v>
      </c>
      <c r="G76" s="31">
        <v>45278</v>
      </c>
      <c r="H76" s="31">
        <v>45278</v>
      </c>
      <c r="I76" s="4" t="str">
        <f t="shared" si="1"/>
        <v>dezembro</v>
      </c>
      <c r="J76" s="5" t="str">
        <f>IF(Tabela1[[#This Row],[Caixa]]="Receita","Recebido",IF(G76="","",IF(H76="","",IF(H76&gt;G76,"Pago atrasado",IF(H76&lt;=G76,"Pago","Aguardando")))))</f>
        <v>Pago</v>
      </c>
    </row>
    <row r="77" spans="1:10" ht="21" customHeight="1" x14ac:dyDescent="0.2">
      <c r="A77" s="28" t="s">
        <v>21</v>
      </c>
      <c r="B77" s="29" t="s">
        <v>55</v>
      </c>
      <c r="C77" s="29" t="s">
        <v>14</v>
      </c>
      <c r="D77" s="48" t="str">
        <f>IFERROR(VLOOKUP(Tabela1[[#This Row],[Tag]],TAGS!$J$1:$K$9,2,0),"")</f>
        <v>Essencial</v>
      </c>
      <c r="E77" s="29" t="s">
        <v>17</v>
      </c>
      <c r="F77" s="30">
        <v>10.9</v>
      </c>
      <c r="G77" s="31">
        <v>45278</v>
      </c>
      <c r="H77" s="31">
        <v>45278</v>
      </c>
      <c r="I77" s="4" t="str">
        <f t="shared" si="1"/>
        <v>dezembro</v>
      </c>
      <c r="J77" s="5" t="str">
        <f>IF(Tabela1[[#This Row],[Caixa]]="Receita","Recebido",IF(G77="","",IF(H77="","",IF(H77&gt;G77,"Pago atrasado",IF(H77&lt;=G77,"Pago","Aguardando")))))</f>
        <v>Pago</v>
      </c>
    </row>
    <row r="78" spans="1:10" ht="21" customHeight="1" x14ac:dyDescent="0.2">
      <c r="A78" s="28" t="s">
        <v>21</v>
      </c>
      <c r="B78" s="29" t="s">
        <v>55</v>
      </c>
      <c r="C78" s="29" t="s">
        <v>14</v>
      </c>
      <c r="D78" s="48" t="str">
        <f>IFERROR(VLOOKUP(Tabela1[[#This Row],[Tag]],TAGS!$J$1:$K$9,2,0),"")</f>
        <v>Essencial</v>
      </c>
      <c r="E78" s="29" t="s">
        <v>17</v>
      </c>
      <c r="F78" s="30">
        <v>13.2</v>
      </c>
      <c r="G78" s="31">
        <v>45278</v>
      </c>
      <c r="H78" s="31">
        <v>45278</v>
      </c>
      <c r="I78" s="4" t="str">
        <f t="shared" si="1"/>
        <v>dezembro</v>
      </c>
      <c r="J78" s="5" t="str">
        <f>IF(Tabela1[[#This Row],[Caixa]]="Receita","Recebido",IF(G78="","",IF(H78="","",IF(H78&gt;G78,"Pago atrasado",IF(H78&lt;=G78,"Pago","Aguardando")))))</f>
        <v>Pago</v>
      </c>
    </row>
    <row r="79" spans="1:10" ht="21" customHeight="1" x14ac:dyDescent="0.2">
      <c r="A79" s="28" t="s">
        <v>21</v>
      </c>
      <c r="B79" s="29" t="s">
        <v>55</v>
      </c>
      <c r="C79" s="29" t="s">
        <v>14</v>
      </c>
      <c r="D79" s="48" t="str">
        <f>IFERROR(VLOOKUP(Tabela1[[#This Row],[Tag]],TAGS!$J$1:$K$9,2,0),"")</f>
        <v>Essencial</v>
      </c>
      <c r="E79" s="29" t="s">
        <v>17</v>
      </c>
      <c r="F79" s="30">
        <v>17.100000000000001</v>
      </c>
      <c r="G79" s="31">
        <v>45278</v>
      </c>
      <c r="H79" s="31">
        <v>45278</v>
      </c>
      <c r="I79" s="4" t="str">
        <f t="shared" si="1"/>
        <v>dezembro</v>
      </c>
      <c r="J79" s="5" t="str">
        <f>IF(Tabela1[[#This Row],[Caixa]]="Receita","Recebido",IF(G79="","",IF(H79="","",IF(H79&gt;G79,"Pago atrasado",IF(H79&lt;=G79,"Pago","Aguardando")))))</f>
        <v>Pago</v>
      </c>
    </row>
    <row r="80" spans="1:10" ht="21" customHeight="1" x14ac:dyDescent="0.2">
      <c r="A80" s="28" t="s">
        <v>47</v>
      </c>
      <c r="B80" s="29" t="s">
        <v>55</v>
      </c>
      <c r="C80" s="29" t="s">
        <v>15</v>
      </c>
      <c r="D80" s="48" t="str">
        <f>IFERROR(VLOOKUP(Tabela1[[#This Row],[Tag]],TAGS!$J$1:$K$9,2,0),"")</f>
        <v>Não essencial</v>
      </c>
      <c r="E80" s="29" t="s">
        <v>17</v>
      </c>
      <c r="F80" s="30">
        <v>26</v>
      </c>
      <c r="G80" s="31">
        <v>45278</v>
      </c>
      <c r="H80" s="31">
        <v>45278</v>
      </c>
      <c r="I80" s="4" t="str">
        <f t="shared" si="1"/>
        <v>dezembro</v>
      </c>
      <c r="J80" s="5" t="str">
        <f>IF(Tabela1[[#This Row],[Caixa]]="Receita","Recebido",IF(G80="","",IF(H80="","",IF(H80&gt;G80,"Pago atrasado",IF(H80&lt;=G80,"Pago","Aguardando")))))</f>
        <v>Pago</v>
      </c>
    </row>
    <row r="81" spans="1:10" ht="21" customHeight="1" x14ac:dyDescent="0.2">
      <c r="A81" s="28" t="s">
        <v>48</v>
      </c>
      <c r="B81" s="29" t="s">
        <v>55</v>
      </c>
      <c r="C81" s="29" t="s">
        <v>15</v>
      </c>
      <c r="D81" s="48" t="str">
        <f>IFERROR(VLOOKUP(Tabela1[[#This Row],[Tag]],TAGS!$J$1:$K$9,2,0),"")</f>
        <v>Não essencial</v>
      </c>
      <c r="E81" s="29" t="s">
        <v>17</v>
      </c>
      <c r="F81" s="30">
        <v>19.5</v>
      </c>
      <c r="G81" s="31">
        <v>45278</v>
      </c>
      <c r="H81" s="31">
        <v>45278</v>
      </c>
      <c r="I81" s="4" t="str">
        <f t="shared" si="1"/>
        <v>dezembro</v>
      </c>
      <c r="J81" s="5" t="str">
        <f>IF(Tabela1[[#This Row],[Caixa]]="Receita","Recebido",IF(G81="","",IF(H81="","",IF(H81&gt;G81,"Pago atrasado",IF(H81&lt;=G81,"Pago","Aguardando")))))</f>
        <v>Pago</v>
      </c>
    </row>
    <row r="82" spans="1:10" ht="21" customHeight="1" x14ac:dyDescent="0.2">
      <c r="A82" s="28" t="s">
        <v>20</v>
      </c>
      <c r="B82" s="29" t="s">
        <v>55</v>
      </c>
      <c r="C82" s="29" t="s">
        <v>15</v>
      </c>
      <c r="D82" s="48" t="str">
        <f>IFERROR(VLOOKUP(Tabela1[[#This Row],[Tag]],TAGS!$J$1:$K$9,2,0),"")</f>
        <v>Não essencial</v>
      </c>
      <c r="E82" s="29" t="s">
        <v>17</v>
      </c>
      <c r="F82" s="30">
        <v>12</v>
      </c>
      <c r="G82" s="31">
        <v>45278</v>
      </c>
      <c r="H82" s="31">
        <v>45278</v>
      </c>
      <c r="I82" s="4" t="str">
        <f t="shared" si="1"/>
        <v>dezembro</v>
      </c>
      <c r="J82" s="5" t="str">
        <f>IF(Tabela1[[#This Row],[Caixa]]="Receita","Recebido",IF(G82="","",IF(H82="","",IF(H82&gt;G82,"Pago atrasado",IF(H82&lt;=G82,"Pago","Aguardando")))))</f>
        <v>Pago</v>
      </c>
    </row>
    <row r="83" spans="1:10" ht="21" customHeight="1" x14ac:dyDescent="0.2">
      <c r="A83" s="28" t="s">
        <v>49</v>
      </c>
      <c r="B83" s="29" t="s">
        <v>55</v>
      </c>
      <c r="C83" s="29" t="s">
        <v>35</v>
      </c>
      <c r="D83" s="48" t="str">
        <f>IFERROR(VLOOKUP(Tabela1[[#This Row],[Tag]],TAGS!$J$1:$K$9,2,0),"")</f>
        <v>Não essencial</v>
      </c>
      <c r="E83" s="29" t="s">
        <v>17</v>
      </c>
      <c r="F83" s="30">
        <v>12</v>
      </c>
      <c r="G83" s="31">
        <v>45278</v>
      </c>
      <c r="H83" s="31">
        <v>45278</v>
      </c>
      <c r="I83" s="4" t="str">
        <f t="shared" si="1"/>
        <v>dezembro</v>
      </c>
      <c r="J83" s="5" t="str">
        <f>IF(Tabela1[[#This Row],[Caixa]]="Receita","Recebido",IF(G83="","",IF(H83="","",IF(H83&gt;G83,"Pago atrasado",IF(H83&lt;=G83,"Pago","Aguardando")))))</f>
        <v>Pago</v>
      </c>
    </row>
    <row r="84" spans="1:10" ht="21" customHeight="1" x14ac:dyDescent="0.2">
      <c r="A84" s="28" t="s">
        <v>21</v>
      </c>
      <c r="B84" s="29" t="s">
        <v>55</v>
      </c>
      <c r="C84" s="29" t="s">
        <v>14</v>
      </c>
      <c r="D84" s="48" t="str">
        <f>IFERROR(VLOOKUP(Tabela1[[#This Row],[Tag]],TAGS!$J$1:$K$9,2,0),"")</f>
        <v>Essencial</v>
      </c>
      <c r="E84" s="29" t="s">
        <v>17</v>
      </c>
      <c r="F84" s="30">
        <v>24.8</v>
      </c>
      <c r="G84" s="31">
        <v>45280</v>
      </c>
      <c r="H84" s="31">
        <v>45280</v>
      </c>
      <c r="I84" s="4" t="str">
        <f t="shared" si="1"/>
        <v>dezembro</v>
      </c>
      <c r="J84" s="5" t="str">
        <f>IF(Tabela1[[#This Row],[Caixa]]="Receita","Recebido",IF(G84="","",IF(H84="","",IF(H84&gt;G84,"Pago atrasado",IF(H84&lt;=G84,"Pago","Aguardando")))))</f>
        <v>Pago</v>
      </c>
    </row>
    <row r="85" spans="1:10" ht="21" customHeight="1" x14ac:dyDescent="0.2">
      <c r="A85" s="28" t="s">
        <v>21</v>
      </c>
      <c r="B85" s="29" t="s">
        <v>55</v>
      </c>
      <c r="C85" s="29" t="s">
        <v>14</v>
      </c>
      <c r="D85" s="48" t="str">
        <f>IFERROR(VLOOKUP(Tabela1[[#This Row],[Tag]],TAGS!$J$1:$K$9,2,0),"")</f>
        <v>Essencial</v>
      </c>
      <c r="E85" s="29" t="s">
        <v>17</v>
      </c>
      <c r="F85" s="30">
        <v>12.8</v>
      </c>
      <c r="G85" s="31">
        <v>45280</v>
      </c>
      <c r="H85" s="31">
        <v>45280</v>
      </c>
      <c r="I85" s="4" t="str">
        <f t="shared" si="1"/>
        <v>dezembro</v>
      </c>
      <c r="J85" s="5" t="str">
        <f>IF(Tabela1[[#This Row],[Caixa]]="Receita","Recebido",IF(G85="","",IF(H85="","",IF(H85&gt;G85,"Pago atrasado",IF(H85&lt;=G85,"Pago","Aguardando")))))</f>
        <v>Pago</v>
      </c>
    </row>
    <row r="86" spans="1:10" ht="21" customHeight="1" x14ac:dyDescent="0.2">
      <c r="A86" s="28" t="s">
        <v>20</v>
      </c>
      <c r="B86" s="29" t="s">
        <v>55</v>
      </c>
      <c r="C86" s="29" t="s">
        <v>15</v>
      </c>
      <c r="D86" s="48" t="str">
        <f>IFERROR(VLOOKUP(Tabela1[[#This Row],[Tag]],TAGS!$J$1:$K$9,2,0),"")</f>
        <v>Não essencial</v>
      </c>
      <c r="E86" s="29" t="s">
        <v>17</v>
      </c>
      <c r="F86" s="30">
        <v>18.97</v>
      </c>
      <c r="G86" s="31">
        <v>45280</v>
      </c>
      <c r="H86" s="31">
        <v>45280</v>
      </c>
      <c r="I86" s="4" t="str">
        <f t="shared" si="1"/>
        <v>dezembro</v>
      </c>
      <c r="J86" s="5" t="str">
        <f>IF(Tabela1[[#This Row],[Caixa]]="Receita","Recebido",IF(G86="","",IF(H86="","",IF(H86&gt;G86,"Pago atrasado",IF(H86&lt;=G86,"Pago","Aguardando")))))</f>
        <v>Pago</v>
      </c>
    </row>
    <row r="87" spans="1:10" ht="21" customHeight="1" x14ac:dyDescent="0.2">
      <c r="A87" s="32" t="s">
        <v>30</v>
      </c>
      <c r="B87" s="29" t="s">
        <v>54</v>
      </c>
      <c r="C87" s="29" t="s">
        <v>57</v>
      </c>
      <c r="D87" s="48" t="str">
        <f>IFERROR(VLOOKUP(Tabela1[[#This Row],[Tag]],TAGS!$J$1:$K$9,2,0),"")</f>
        <v/>
      </c>
      <c r="E87" s="29" t="s">
        <v>59</v>
      </c>
      <c r="F87" s="30">
        <v>2262</v>
      </c>
      <c r="G87" s="31"/>
      <c r="H87" s="31"/>
      <c r="I87" s="4" t="str">
        <f t="shared" si="1"/>
        <v/>
      </c>
      <c r="J87" s="5" t="str">
        <f>IF(Tabela1[[#This Row],[Caixa]]="Receita","Recebido",IF(G87="","",IF(H87="","",IF(H87&gt;G87,"Pago atrasado",IF(H87&lt;=G87,"Pago","Aguardando")))))</f>
        <v>Recebido</v>
      </c>
    </row>
    <row r="88" spans="1:10" ht="21" customHeight="1" x14ac:dyDescent="0.2">
      <c r="A88" s="33" t="s">
        <v>50</v>
      </c>
      <c r="B88" s="29" t="s">
        <v>54</v>
      </c>
      <c r="C88" s="29" t="s">
        <v>57</v>
      </c>
      <c r="D88" s="48" t="str">
        <f>IFERROR(VLOOKUP(Tabela1[[#This Row],[Tag]],TAGS!$J$1:$K$9,2,0),"")</f>
        <v/>
      </c>
      <c r="E88" s="29" t="s">
        <v>59</v>
      </c>
      <c r="F88" s="30">
        <v>1752</v>
      </c>
      <c r="G88" s="31"/>
      <c r="H88" s="31"/>
      <c r="I88" s="4" t="str">
        <f t="shared" si="1"/>
        <v/>
      </c>
      <c r="J88" s="5" t="str">
        <f>IF(Tabela1[[#This Row],[Caixa]]="Receita","Recebido",IF(G88="","",IF(H88="","",IF(H88&gt;G88,"Pago atrasado",IF(H88&lt;=G88,"Pago","Aguardando")))))</f>
        <v>Recebido</v>
      </c>
    </row>
    <row r="89" spans="1:10" ht="21" customHeight="1" x14ac:dyDescent="0.2">
      <c r="A89" s="32" t="s">
        <v>30</v>
      </c>
      <c r="B89" s="29" t="s">
        <v>54</v>
      </c>
      <c r="C89" s="29" t="s">
        <v>57</v>
      </c>
      <c r="D89" s="48" t="str">
        <f>IFERROR(VLOOKUP(Tabela1[[#This Row],[Tag]],TAGS!$J$1:$K$9,2,0),"")</f>
        <v/>
      </c>
      <c r="E89" s="29" t="s">
        <v>59</v>
      </c>
      <c r="F89" s="30">
        <v>500</v>
      </c>
      <c r="G89" s="31"/>
      <c r="H89" s="31"/>
      <c r="I89" s="4" t="str">
        <f t="shared" si="1"/>
        <v/>
      </c>
      <c r="J89" s="5" t="str">
        <f>IF(Tabela1[[#This Row],[Caixa]]="Receita","Recebido",IF(G89="","",IF(H89="","",IF(H89&gt;G89,"Pago atrasado",IF(H89&lt;=G89,"Pago","Aguardando")))))</f>
        <v>Recebido</v>
      </c>
    </row>
    <row r="90" spans="1:10" ht="21" customHeight="1" x14ac:dyDescent="0.2">
      <c r="A90" s="33" t="s">
        <v>51</v>
      </c>
      <c r="B90" s="29" t="s">
        <v>54</v>
      </c>
      <c r="C90" s="29" t="s">
        <v>57</v>
      </c>
      <c r="D90" s="48" t="str">
        <f>IFERROR(VLOOKUP(Tabela1[[#This Row],[Tag]],TAGS!$J$1:$K$9,2,0),"")</f>
        <v/>
      </c>
      <c r="E90" s="29" t="s">
        <v>59</v>
      </c>
      <c r="F90" s="30">
        <v>7164</v>
      </c>
      <c r="G90" s="31"/>
      <c r="H90" s="31"/>
      <c r="I90" s="4" t="str">
        <f t="shared" si="1"/>
        <v/>
      </c>
      <c r="J90" s="5" t="str">
        <f>IF(Tabela1[[#This Row],[Caixa]]="Receita","Recebido",IF(G90="","",IF(H90="","",IF(H90&gt;G90,"Pago atrasado",IF(H90&lt;=G90,"Pago","Aguardando")))))</f>
        <v>Recebido</v>
      </c>
    </row>
    <row r="91" spans="1:10" ht="21" customHeight="1" x14ac:dyDescent="0.2">
      <c r="A91" s="28" t="s">
        <v>21</v>
      </c>
      <c r="B91" s="29" t="s">
        <v>55</v>
      </c>
      <c r="C91" s="29" t="s">
        <v>14</v>
      </c>
      <c r="D91" s="48" t="str">
        <f>IFERROR(VLOOKUP(Tabela1[[#This Row],[Tag]],TAGS!$J$1:$K$9,2,0),"")</f>
        <v>Essencial</v>
      </c>
      <c r="E91" s="29" t="s">
        <v>17</v>
      </c>
      <c r="F91" s="30">
        <v>13.6</v>
      </c>
      <c r="G91" s="31">
        <v>45281</v>
      </c>
      <c r="H91" s="31">
        <v>45281</v>
      </c>
      <c r="I91" s="4" t="str">
        <f t="shared" si="1"/>
        <v>dezembro</v>
      </c>
      <c r="J91" s="5" t="str">
        <f>IF(Tabela1[[#This Row],[Caixa]]="Receita","Recebido",IF(G91="","",IF(H91="","",IF(H91&gt;G91,"Pago atrasado",IF(H91&lt;=G91,"Pago","Aguardando")))))</f>
        <v>Pago</v>
      </c>
    </row>
    <row r="92" spans="1:10" ht="21" customHeight="1" x14ac:dyDescent="0.2">
      <c r="A92" s="28" t="s">
        <v>20</v>
      </c>
      <c r="B92" s="29" t="s">
        <v>55</v>
      </c>
      <c r="C92" s="29" t="s">
        <v>15</v>
      </c>
      <c r="D92" s="48" t="str">
        <f>IFERROR(VLOOKUP(Tabela1[[#This Row],[Tag]],TAGS!$J$1:$K$9,2,0),"")</f>
        <v>Não essencial</v>
      </c>
      <c r="E92" s="29" t="s">
        <v>17</v>
      </c>
      <c r="F92" s="30">
        <v>29.96</v>
      </c>
      <c r="G92" s="31">
        <v>45281</v>
      </c>
      <c r="H92" s="31">
        <v>45281</v>
      </c>
      <c r="I92" s="4" t="str">
        <f t="shared" si="1"/>
        <v>dezembro</v>
      </c>
      <c r="J92" s="5" t="str">
        <f>IF(Tabela1[[#This Row],[Caixa]]="Receita","Recebido",IF(G92="","",IF(H92="","",IF(H92&gt;G92,"Pago atrasado",IF(H92&lt;=G92,"Pago","Aguardando")))))</f>
        <v>Pago</v>
      </c>
    </row>
    <row r="93" spans="1:10" ht="21" customHeight="1" x14ac:dyDescent="0.2">
      <c r="A93" s="28" t="s">
        <v>31</v>
      </c>
      <c r="B93" s="29" t="s">
        <v>55</v>
      </c>
      <c r="C93" s="29" t="s">
        <v>13</v>
      </c>
      <c r="D93" s="48" t="str">
        <f>IFERROR(VLOOKUP(Tabela1[[#This Row],[Tag]],TAGS!$J$1:$K$9,2,0),"")</f>
        <v>Essencial</v>
      </c>
      <c r="E93" s="29" t="s">
        <v>17</v>
      </c>
      <c r="F93" s="30">
        <v>11.56</v>
      </c>
      <c r="G93" s="31">
        <v>45281</v>
      </c>
      <c r="H93" s="31">
        <v>45281</v>
      </c>
      <c r="I93" s="4" t="str">
        <f t="shared" si="1"/>
        <v>dezembro</v>
      </c>
      <c r="J93" s="5" t="str">
        <f>IF(Tabela1[[#This Row],[Caixa]]="Receita","Recebido",IF(G93="","",IF(H93="","",IF(H93&gt;G93,"Pago atrasado",IF(H93&lt;=G93,"Pago","Aguardando")))))</f>
        <v>Pago</v>
      </c>
    </row>
    <row r="94" spans="1:10" ht="21" customHeight="1" x14ac:dyDescent="0.2">
      <c r="A94" s="28" t="s">
        <v>31</v>
      </c>
      <c r="B94" s="29" t="s">
        <v>55</v>
      </c>
      <c r="C94" s="29" t="s">
        <v>13</v>
      </c>
      <c r="D94" s="48" t="str">
        <f>IFERROR(VLOOKUP(Tabela1[[#This Row],[Tag]],TAGS!$J$1:$K$9,2,0),"")</f>
        <v>Essencial</v>
      </c>
      <c r="E94" s="29" t="s">
        <v>17</v>
      </c>
      <c r="F94" s="30">
        <v>68.06</v>
      </c>
      <c r="G94" s="31">
        <v>45281</v>
      </c>
      <c r="H94" s="31">
        <v>45281</v>
      </c>
      <c r="I94" s="4" t="str">
        <f t="shared" si="1"/>
        <v>dezembro</v>
      </c>
      <c r="J94" s="5" t="str">
        <f>IF(Tabela1[[#This Row],[Caixa]]="Receita","Recebido",IF(G94="","",IF(H94="","",IF(H94&gt;G94,"Pago atrasado",IF(H94&lt;=G94,"Pago","Aguardando")))))</f>
        <v>Pago</v>
      </c>
    </row>
    <row r="95" spans="1:10" ht="21" customHeight="1" x14ac:dyDescent="0.2">
      <c r="A95" s="28" t="s">
        <v>31</v>
      </c>
      <c r="B95" s="29" t="s">
        <v>55</v>
      </c>
      <c r="C95" s="29" t="s">
        <v>13</v>
      </c>
      <c r="D95" s="48" t="str">
        <f>IFERROR(VLOOKUP(Tabela1[[#This Row],[Tag]],TAGS!$J$1:$K$9,2,0),"")</f>
        <v>Essencial</v>
      </c>
      <c r="E95" s="29" t="s">
        <v>17</v>
      </c>
      <c r="F95" s="30">
        <v>6.39</v>
      </c>
      <c r="G95" s="31">
        <v>45281</v>
      </c>
      <c r="H95" s="31">
        <v>45281</v>
      </c>
      <c r="I95" s="4" t="str">
        <f t="shared" si="1"/>
        <v>dezembro</v>
      </c>
      <c r="J95" s="5" t="str">
        <f>IF(Tabela1[[#This Row],[Caixa]]="Receita","Recebido",IF(G95="","",IF(H95="","",IF(H95&gt;G95,"Pago atrasado",IF(H95&lt;=G95,"Pago","Aguardando")))))</f>
        <v>Pago</v>
      </c>
    </row>
    <row r="96" spans="1:10" ht="21" customHeight="1" x14ac:dyDescent="0.2">
      <c r="A96" s="28" t="s">
        <v>21</v>
      </c>
      <c r="B96" s="29" t="s">
        <v>55</v>
      </c>
      <c r="C96" s="29" t="s">
        <v>14</v>
      </c>
      <c r="D96" s="48" t="str">
        <f>IFERROR(VLOOKUP(Tabela1[[#This Row],[Tag]],TAGS!$J$1:$K$9,2,0),"")</f>
        <v>Essencial</v>
      </c>
      <c r="E96" s="29" t="s">
        <v>17</v>
      </c>
      <c r="F96" s="30">
        <v>12.7</v>
      </c>
      <c r="G96" s="31">
        <v>45281</v>
      </c>
      <c r="H96" s="31">
        <v>45281</v>
      </c>
      <c r="I96" s="4" t="str">
        <f t="shared" si="1"/>
        <v>dezembro</v>
      </c>
      <c r="J96" s="5" t="str">
        <f>IF(Tabela1[[#This Row],[Caixa]]="Receita","Recebido",IF(G96="","",IF(H96="","",IF(H96&gt;G96,"Pago atrasado",IF(H96&lt;=G96,"Pago","Aguardando")))))</f>
        <v>Pago</v>
      </c>
    </row>
    <row r="97" spans="1:10" ht="21" customHeight="1" x14ac:dyDescent="0.2">
      <c r="A97" s="28" t="s">
        <v>62</v>
      </c>
      <c r="B97" s="29" t="s">
        <v>55</v>
      </c>
      <c r="C97" s="29" t="s">
        <v>15</v>
      </c>
      <c r="D97" s="48" t="str">
        <f>IFERROR(VLOOKUP(Tabela1[[#This Row],[Tag]],TAGS!$J$1:$K$9,2,0),"")</f>
        <v>Não essencial</v>
      </c>
      <c r="E97" s="29" t="s">
        <v>17</v>
      </c>
      <c r="F97" s="30">
        <v>18</v>
      </c>
      <c r="G97" s="31">
        <v>45281</v>
      </c>
      <c r="H97" s="31">
        <v>45281</v>
      </c>
      <c r="I97" s="4" t="str">
        <f t="shared" si="1"/>
        <v>dezembro</v>
      </c>
      <c r="J97" s="5" t="str">
        <f>IF(Tabela1[[#This Row],[Caixa]]="Receita","Recebido",IF(G97="","",IF(H97="","",IF(H97&gt;G97,"Pago atrasado",IF(H97&lt;=G97,"Pago","Aguardando")))))</f>
        <v>Pago</v>
      </c>
    </row>
    <row r="98" spans="1:10" ht="21" customHeight="1" x14ac:dyDescent="0.2">
      <c r="A98" s="28" t="s">
        <v>63</v>
      </c>
      <c r="B98" s="29" t="s">
        <v>55</v>
      </c>
      <c r="C98" s="29" t="s">
        <v>15</v>
      </c>
      <c r="D98" s="48" t="str">
        <f>IFERROR(VLOOKUP(Tabela1[[#This Row],[Tag]],TAGS!$J$1:$K$9,2,0),"")</f>
        <v>Não essencial</v>
      </c>
      <c r="E98" s="29" t="s">
        <v>17</v>
      </c>
      <c r="F98" s="30">
        <v>4.5</v>
      </c>
      <c r="G98" s="31">
        <v>45281</v>
      </c>
      <c r="H98" s="31">
        <v>45281</v>
      </c>
      <c r="I98" s="4" t="str">
        <f t="shared" si="1"/>
        <v>dezembro</v>
      </c>
      <c r="J98" s="5" t="str">
        <f>IF(Tabela1[[#This Row],[Caixa]]="Receita","Recebido",IF(G98="","",IF(H98="","",IF(H98&gt;G98,"Pago atrasado",IF(H98&lt;=G98,"Pago","Aguardando")))))</f>
        <v>Pago</v>
      </c>
    </row>
    <row r="99" spans="1:10" ht="21" customHeight="1" x14ac:dyDescent="0.2">
      <c r="A99" s="28" t="s">
        <v>21</v>
      </c>
      <c r="B99" s="29" t="s">
        <v>55</v>
      </c>
      <c r="C99" s="29" t="s">
        <v>14</v>
      </c>
      <c r="D99" s="48" t="str">
        <f>IFERROR(VLOOKUP(Tabela1[[#This Row],[Tag]],TAGS!$J$1:$K$9,2,0),"")</f>
        <v>Essencial</v>
      </c>
      <c r="E99" s="29" t="s">
        <v>17</v>
      </c>
      <c r="F99" s="30">
        <v>18.12</v>
      </c>
      <c r="G99" s="31">
        <v>45281</v>
      </c>
      <c r="H99" s="31">
        <v>45281</v>
      </c>
      <c r="I99" s="4" t="str">
        <f t="shared" si="1"/>
        <v>dezembro</v>
      </c>
      <c r="J99" s="5" t="str">
        <f>IF(Tabela1[[#This Row],[Caixa]]="Receita","Recebido",IF(G99="","",IF(H99="","",IF(H99&gt;G99,"Pago atrasado",IF(H99&lt;=G99,"Pago","Aguardando")))))</f>
        <v>Pago</v>
      </c>
    </row>
    <row r="100" spans="1:10" ht="21" customHeight="1" x14ac:dyDescent="0.2">
      <c r="A100" s="28" t="s">
        <v>16</v>
      </c>
      <c r="B100" s="29" t="s">
        <v>55</v>
      </c>
      <c r="C100" s="29" t="s">
        <v>14</v>
      </c>
      <c r="D100" s="48" t="str">
        <f>IFERROR(VLOOKUP(Tabela1[[#This Row],[Tag]],TAGS!$J$1:$K$9,2,0),"")</f>
        <v>Essencial</v>
      </c>
      <c r="E100" s="29" t="s">
        <v>17</v>
      </c>
      <c r="F100" s="30">
        <v>22.5</v>
      </c>
      <c r="G100" s="31">
        <v>45281</v>
      </c>
      <c r="H100" s="31">
        <v>45281</v>
      </c>
      <c r="I100" s="4" t="str">
        <f t="shared" ref="I100" si="2">IF(G100="","",TEXT(G100,"mmmm"))</f>
        <v>dezembro</v>
      </c>
      <c r="J100" s="5" t="str">
        <f>IF(Tabela1[[#This Row],[Caixa]]="Receita","Recebido",IF(G100="","",IF(H100="","",IF(H100&gt;G100,"Pago atrasado",IF(H100&lt;=G100,"Pago","Aguardando")))))</f>
        <v>Pago</v>
      </c>
    </row>
    <row r="101" spans="1:10" ht="21" customHeight="1" x14ac:dyDescent="0.2">
      <c r="A101" s="28" t="s">
        <v>64</v>
      </c>
      <c r="B101" s="29" t="s">
        <v>55</v>
      </c>
      <c r="C101" s="29" t="s">
        <v>35</v>
      </c>
      <c r="D101" s="48" t="str">
        <f>IFERROR(VLOOKUP(Tabela1[[#This Row],[Tag]],TAGS!$J$1:$K$9,2,0),"")</f>
        <v>Não essencial</v>
      </c>
      <c r="E101" s="29" t="s">
        <v>17</v>
      </c>
      <c r="F101" s="30">
        <v>60</v>
      </c>
      <c r="G101" s="31">
        <v>45281</v>
      </c>
      <c r="H101" s="31">
        <v>45281</v>
      </c>
      <c r="I101" s="4" t="str">
        <f t="shared" si="1"/>
        <v>dezembro</v>
      </c>
      <c r="J101" s="5" t="str">
        <f>IF(Tabela1[[#This Row],[Caixa]]="Receita","Recebido",IF(G101="","",IF(H101="","",IF(H101&gt;G101,"Pago atrasado",IF(H101&lt;=G101,"Pago","Aguardando")))))</f>
        <v>Pago</v>
      </c>
    </row>
    <row r="102" spans="1:10" ht="21" customHeight="1" x14ac:dyDescent="0.2">
      <c r="A102" s="28" t="s">
        <v>31</v>
      </c>
      <c r="B102" s="29" t="s">
        <v>55</v>
      </c>
      <c r="C102" s="29" t="s">
        <v>13</v>
      </c>
      <c r="D102" s="48" t="str">
        <f>IFERROR(VLOOKUP(Tabela1[[#This Row],[Tag]],TAGS!$J$1:$K$9,2,0),"")</f>
        <v>Essencial</v>
      </c>
      <c r="E102" s="29" t="s">
        <v>17</v>
      </c>
      <c r="F102" s="30">
        <v>55.82</v>
      </c>
      <c r="G102" s="31">
        <v>45281</v>
      </c>
      <c r="H102" s="31">
        <v>45281</v>
      </c>
      <c r="I102" s="4" t="str">
        <f t="shared" si="1"/>
        <v>dezembro</v>
      </c>
      <c r="J102" s="5" t="str">
        <f>IF(Tabela1[[#This Row],[Caixa]]="Receita","Recebido",IF(G102="","",IF(H102="","",IF(H102&gt;G102,"Pago atrasado",IF(H102&lt;=G102,"Pago","Aguardando")))))</f>
        <v>Pago</v>
      </c>
    </row>
    <row r="103" spans="1:10" ht="21" customHeight="1" x14ac:dyDescent="0.2">
      <c r="A103" s="28" t="s">
        <v>20</v>
      </c>
      <c r="B103" s="29" t="s">
        <v>55</v>
      </c>
      <c r="C103" s="29" t="s">
        <v>15</v>
      </c>
      <c r="D103" s="48" t="str">
        <f>IFERROR(VLOOKUP(Tabela1[[#This Row],[Tag]],TAGS!$J$1:$K$9,2,0),"")</f>
        <v>Não essencial</v>
      </c>
      <c r="E103" s="29" t="s">
        <v>17</v>
      </c>
      <c r="F103" s="30">
        <v>41.44</v>
      </c>
      <c r="G103" s="31">
        <v>45281</v>
      </c>
      <c r="H103" s="31">
        <v>45281</v>
      </c>
      <c r="I103" s="4" t="str">
        <f t="shared" si="1"/>
        <v>dezembro</v>
      </c>
      <c r="J103" s="5" t="str">
        <f>IF(Tabela1[[#This Row],[Caixa]]="Receita","Recebido",IF(G103="","",IF(H103="","",IF(H103&gt;G103,"Pago atrasado",IF(H103&lt;=G103,"Pago","Aguardando")))))</f>
        <v>Pago</v>
      </c>
    </row>
    <row r="104" spans="1:10" ht="21" customHeight="1" x14ac:dyDescent="0.2">
      <c r="A104" s="28" t="s">
        <v>27</v>
      </c>
      <c r="B104" s="29" t="s">
        <v>55</v>
      </c>
      <c r="C104" s="29" t="s">
        <v>28</v>
      </c>
      <c r="D104" s="48" t="str">
        <f>IFERROR(VLOOKUP(Tabela1[[#This Row],[Tag]],TAGS!$J$1:$K$9,2,0),"")</f>
        <v>Não essencial</v>
      </c>
      <c r="E104" s="29" t="s">
        <v>5</v>
      </c>
      <c r="F104" s="30">
        <v>100</v>
      </c>
      <c r="G104" s="31">
        <v>45281</v>
      </c>
      <c r="H104" s="31">
        <v>45281</v>
      </c>
      <c r="I104" s="4" t="str">
        <f t="shared" si="1"/>
        <v>dezembro</v>
      </c>
      <c r="J104" s="5" t="str">
        <f>IF(Tabela1[[#This Row],[Caixa]]="Receita","Recebido",IF(G104="","",IF(H104="","",IF(H104&gt;G104,"Pago atrasado",IF(H104&lt;=G104,"Pago","Aguardando")))))</f>
        <v>Pago</v>
      </c>
    </row>
    <row r="105" spans="1:10" ht="21" customHeight="1" x14ac:dyDescent="0.2">
      <c r="A105" s="28" t="s">
        <v>20</v>
      </c>
      <c r="B105" s="29" t="s">
        <v>55</v>
      </c>
      <c r="C105" s="29" t="s">
        <v>15</v>
      </c>
      <c r="D105" s="48" t="str">
        <f>IFERROR(VLOOKUP(Tabela1[[#This Row],[Tag]],TAGS!$J$1:$K$9,2,0),"")</f>
        <v>Não essencial</v>
      </c>
      <c r="E105" s="29" t="s">
        <v>17</v>
      </c>
      <c r="F105" s="30">
        <v>59.88</v>
      </c>
      <c r="G105" s="31">
        <v>45281</v>
      </c>
      <c r="H105" s="31">
        <v>45281</v>
      </c>
      <c r="I105" s="4" t="str">
        <f t="shared" si="1"/>
        <v>dezembro</v>
      </c>
      <c r="J105" s="5" t="str">
        <f>IF(Tabela1[[#This Row],[Caixa]]="Receita","Recebido",IF(G105="","",IF(H105="","",IF(H105&gt;G105,"Pago atrasado",IF(H105&lt;=G105,"Pago","Aguardando")))))</f>
        <v>Pago</v>
      </c>
    </row>
    <row r="106" spans="1:10" ht="21" customHeight="1" x14ac:dyDescent="0.2">
      <c r="A106" s="28" t="s">
        <v>29</v>
      </c>
      <c r="B106" s="29" t="s">
        <v>55</v>
      </c>
      <c r="C106" s="29" t="s">
        <v>15</v>
      </c>
      <c r="D106" s="48" t="str">
        <f>IFERROR(VLOOKUP(Tabela1[[#This Row],[Tag]],TAGS!$J$1:$K$9,2,0),"")</f>
        <v>Não essencial</v>
      </c>
      <c r="E106" s="29" t="s">
        <v>17</v>
      </c>
      <c r="F106" s="30">
        <v>95</v>
      </c>
      <c r="G106" s="31">
        <v>45281</v>
      </c>
      <c r="H106" s="31">
        <v>45281</v>
      </c>
      <c r="I106" s="4" t="str">
        <f t="shared" si="1"/>
        <v>dezembro</v>
      </c>
      <c r="J106" s="5" t="str">
        <f>IF(Tabela1[[#This Row],[Caixa]]="Receita","Recebido",IF(G106="","",IF(H106="","",IF(H106&gt;G106,"Pago atrasado",IF(H106&lt;=G106,"Pago","Aguardando")))))</f>
        <v>Pago</v>
      </c>
    </row>
    <row r="107" spans="1:10" ht="21" customHeight="1" x14ac:dyDescent="0.2">
      <c r="A107" s="28" t="s">
        <v>65</v>
      </c>
      <c r="B107" s="29" t="s">
        <v>55</v>
      </c>
      <c r="C107" s="29" t="s">
        <v>13</v>
      </c>
      <c r="D107" s="48" t="str">
        <f>IFERROR(VLOOKUP(Tabela1[[#This Row],[Tag]],TAGS!$J$1:$K$9,2,0),"")</f>
        <v>Essencial</v>
      </c>
      <c r="E107" s="29" t="s">
        <v>17</v>
      </c>
      <c r="F107" s="30">
        <v>201.17</v>
      </c>
      <c r="G107" s="31">
        <v>45281</v>
      </c>
      <c r="H107" s="31">
        <v>45281</v>
      </c>
      <c r="I107" s="4" t="str">
        <f t="shared" si="1"/>
        <v>dezembro</v>
      </c>
      <c r="J107" s="5" t="str">
        <f>IF(Tabela1[[#This Row],[Caixa]]="Receita","Recebido",IF(G107="","",IF(H107="","",IF(H107&gt;G107,"Pago atrasado",IF(H107&lt;=G107,"Pago","Aguardando")))))</f>
        <v>Pago</v>
      </c>
    </row>
    <row r="108" spans="1:10" ht="21" customHeight="1" x14ac:dyDescent="0.2">
      <c r="A108" s="28" t="s">
        <v>65</v>
      </c>
      <c r="B108" s="29" t="s">
        <v>55</v>
      </c>
      <c r="C108" s="29" t="s">
        <v>13</v>
      </c>
      <c r="D108" s="48" t="str">
        <f>IFERROR(VLOOKUP(Tabela1[[#This Row],[Tag]],TAGS!$J$1:$K$9,2,0),"")</f>
        <v>Essencial</v>
      </c>
      <c r="E108" s="29" t="s">
        <v>17</v>
      </c>
      <c r="F108" s="30">
        <v>17</v>
      </c>
      <c r="G108" s="31">
        <v>45281</v>
      </c>
      <c r="H108" s="31">
        <v>45281</v>
      </c>
      <c r="I108" s="4" t="str">
        <f t="shared" ref="I108" si="3">IF(G108="","",TEXT(G108,"mmmm"))</f>
        <v>dezembro</v>
      </c>
      <c r="J108" s="5" t="str">
        <f>IF(Tabela1[[#This Row],[Caixa]]="Receita","Recebido",IF(G108="","",IF(H108="","",IF(H108&gt;G108,"Pago atrasado",IF(H108&lt;=G108,"Pago","Aguardando")))))</f>
        <v>Pago</v>
      </c>
    </row>
    <row r="109" spans="1:10" ht="21" customHeight="1" x14ac:dyDescent="0.2">
      <c r="A109" s="28" t="s">
        <v>57</v>
      </c>
      <c r="B109" s="29" t="s">
        <v>54</v>
      </c>
      <c r="C109" s="29" t="s">
        <v>57</v>
      </c>
      <c r="D109" s="48" t="str">
        <f>IFERROR(VLOOKUP(Tabela1[[#This Row],[Tag]],TAGS!$J$1:$K$9,2,0),"")</f>
        <v/>
      </c>
      <c r="E109" s="29" t="s">
        <v>59</v>
      </c>
      <c r="F109" s="30">
        <v>714.84</v>
      </c>
      <c r="G109" s="31"/>
      <c r="H109" s="31"/>
      <c r="I109" s="4" t="str">
        <f t="shared" si="1"/>
        <v/>
      </c>
      <c r="J109" s="5" t="str">
        <f>IF(Tabela1[[#This Row],[Caixa]]="Receita","Recebido",IF(G109="","",IF(H109="","",IF(H109&gt;G109,"Pago atrasado",IF(H109&lt;=G109,"Pago","Aguardando")))))</f>
        <v>Recebido</v>
      </c>
    </row>
    <row r="110" spans="1:10" ht="21" customHeight="1" x14ac:dyDescent="0.2">
      <c r="A110" s="34" t="s">
        <v>71</v>
      </c>
      <c r="B110" s="35" t="s">
        <v>55</v>
      </c>
      <c r="C110" s="35" t="s">
        <v>13</v>
      </c>
      <c r="D110" s="48" t="str">
        <f>IFERROR(VLOOKUP(Tabela1[[#This Row],[Tag]],TAGS!$J$1:$K$9,2,0),"")</f>
        <v>Essencial</v>
      </c>
      <c r="E110" s="35" t="s">
        <v>17</v>
      </c>
      <c r="F110" s="36">
        <v>58</v>
      </c>
      <c r="G110" s="37">
        <v>45284</v>
      </c>
      <c r="H110" s="37">
        <v>45284</v>
      </c>
      <c r="I110" s="7" t="str">
        <f t="shared" si="1"/>
        <v>dezembro</v>
      </c>
      <c r="J110" s="5" t="str">
        <f>IF(Tabela1[[#This Row],[Caixa]]="Receita","Recebido",IF(G110="","",IF(H110="","",IF(H110&gt;G110,"Pago atrasado",IF(H110&lt;=G110,"Pago","Aguardando")))))</f>
        <v>Pago</v>
      </c>
    </row>
    <row r="111" spans="1:10" ht="21" customHeight="1" x14ac:dyDescent="0.2">
      <c r="A111" s="34"/>
      <c r="B111" s="35"/>
      <c r="C111" s="35"/>
      <c r="D111" s="48" t="str">
        <f>IFERROR(VLOOKUP(Tabela1[[#This Row],[Tag]],TAGS!$J$1:$K$9,2,0),"")</f>
        <v/>
      </c>
      <c r="E111" s="35"/>
      <c r="F111" s="36"/>
      <c r="G111" s="37"/>
      <c r="H111" s="37"/>
      <c r="I111" s="7" t="str">
        <f t="shared" ref="I111" si="4">IF(G111="","",TEXT(G111,"mmmm"))</f>
        <v/>
      </c>
      <c r="J111" s="5" t="str">
        <f>IF(Tabela1[[#This Row],[Caixa]]="Receita","Recebido",IF(G111="","",IF(H111="","",IF(H111&gt;G111,"Pago atrasado",IF(H111&lt;=G111,"Pago","Aguardando")))))</f>
        <v/>
      </c>
    </row>
    <row r="112" spans="1:10" ht="21" customHeight="1" x14ac:dyDescent="0.2">
      <c r="A112" s="34"/>
      <c r="B112" s="35"/>
      <c r="C112" s="35"/>
      <c r="D112" s="48" t="str">
        <f>IFERROR(VLOOKUP(Tabela1[[#This Row],[Tag]],TAGS!$J$1:$K$9,2,0),"")</f>
        <v/>
      </c>
      <c r="E112" s="35"/>
      <c r="F112" s="36"/>
      <c r="G112" s="37"/>
      <c r="H112" s="37"/>
      <c r="I112" s="7" t="str">
        <f t="shared" ref="I112" si="5">IF(G112="","",TEXT(G112,"mmmm"))</f>
        <v/>
      </c>
      <c r="J112" s="6" t="str">
        <f>IF(Tabela1[[#This Row],[Caixa]]="Receita","Recebido",IF(G112="","",IF(H112="","",IF(H112&gt;G112,"Pago atrasado",IF(H112&lt;=G112,"Pago","Aguardando")))))</f>
        <v/>
      </c>
    </row>
    <row r="113" spans="1:10" ht="21" customHeight="1" x14ac:dyDescent="0.2">
      <c r="A113" s="28"/>
      <c r="B113" s="29"/>
      <c r="C113" s="29"/>
      <c r="D113" s="48" t="str">
        <f>IFERROR(VLOOKUP(Tabela1[[#This Row],[Tag]],TAGS!$J$1:$K$9,2,0),"")</f>
        <v/>
      </c>
      <c r="E113" s="29"/>
      <c r="F113" s="30"/>
      <c r="G113" s="31"/>
      <c r="H113" s="31"/>
      <c r="I113" s="4" t="str">
        <f t="shared" ref="I113:I176" si="6">IF(G113="","",TEXT(G113,"mmmm"))</f>
        <v/>
      </c>
      <c r="J113" s="5" t="str">
        <f>IF(Tabela1[[#This Row],[Caixa]]="Receita","Recebido",IF(G113="","",IF(H113="","",IF(H113&gt;G113,"Pago atrasado",IF(H113&lt;=G113,"Pago","Aguardando")))))</f>
        <v/>
      </c>
    </row>
    <row r="114" spans="1:10" ht="21" customHeight="1" x14ac:dyDescent="0.2">
      <c r="A114" s="28"/>
      <c r="B114" s="29"/>
      <c r="C114" s="29"/>
      <c r="D114" s="48" t="str">
        <f>IFERROR(VLOOKUP(Tabela1[[#This Row],[Tag]],TAGS!$J$1:$K$9,2,0),"")</f>
        <v/>
      </c>
      <c r="E114" s="29"/>
      <c r="F114" s="30"/>
      <c r="G114" s="31"/>
      <c r="H114" s="31"/>
      <c r="I114" s="4" t="str">
        <f t="shared" si="6"/>
        <v/>
      </c>
      <c r="J114" s="5" t="str">
        <f>IF(Tabela1[[#This Row],[Caixa]]="Receita","Recebido",IF(G114="","",IF(H114="","",IF(H114&gt;G114,"Pago atrasado",IF(H114&lt;=G114,"Pago","Aguardando")))))</f>
        <v/>
      </c>
    </row>
    <row r="115" spans="1:10" ht="21" customHeight="1" x14ac:dyDescent="0.2">
      <c r="A115" s="28"/>
      <c r="B115" s="29"/>
      <c r="C115" s="29"/>
      <c r="D115" s="48" t="str">
        <f>IFERROR(VLOOKUP(Tabela1[[#This Row],[Tag]],TAGS!$J$1:$K$9,2,0),"")</f>
        <v/>
      </c>
      <c r="E115" s="29"/>
      <c r="F115" s="30"/>
      <c r="G115" s="31"/>
      <c r="H115" s="31"/>
      <c r="I115" s="4" t="str">
        <f t="shared" si="6"/>
        <v/>
      </c>
      <c r="J115" s="5" t="str">
        <f>IF(Tabela1[[#This Row],[Caixa]]="Receita","Recebido",IF(G115="","",IF(H115="","",IF(H115&gt;G115,"Pago atrasado",IF(H115&lt;=G115,"Pago","Aguardando")))))</f>
        <v/>
      </c>
    </row>
    <row r="116" spans="1:10" ht="21" customHeight="1" x14ac:dyDescent="0.2">
      <c r="A116" s="28"/>
      <c r="B116" s="29"/>
      <c r="C116" s="29"/>
      <c r="D116" s="48" t="str">
        <f>IFERROR(VLOOKUP(Tabela1[[#This Row],[Tag]],TAGS!$J$1:$K$9,2,0),"")</f>
        <v/>
      </c>
      <c r="E116" s="29"/>
      <c r="F116" s="30"/>
      <c r="G116" s="31"/>
      <c r="H116" s="31"/>
      <c r="I116" s="4" t="str">
        <f t="shared" si="6"/>
        <v/>
      </c>
      <c r="J116" s="5" t="str">
        <f>IF(Tabela1[[#This Row],[Caixa]]="Receita","Recebido",IF(G116="","",IF(H116="","",IF(H116&gt;G116,"Pago atrasado",IF(H116&lt;=G116,"Pago","Aguardando")))))</f>
        <v/>
      </c>
    </row>
    <row r="117" spans="1:10" ht="21" customHeight="1" x14ac:dyDescent="0.2">
      <c r="A117" s="28"/>
      <c r="B117" s="29"/>
      <c r="C117" s="29"/>
      <c r="D117" s="48" t="str">
        <f>IFERROR(VLOOKUP(Tabela1[[#This Row],[Tag]],TAGS!$J$1:$K$9,2,0),"")</f>
        <v/>
      </c>
      <c r="E117" s="29"/>
      <c r="F117" s="30"/>
      <c r="G117" s="31"/>
      <c r="H117" s="31"/>
      <c r="I117" s="4" t="str">
        <f t="shared" si="6"/>
        <v/>
      </c>
      <c r="J117" s="5" t="str">
        <f>IF(Tabela1[[#This Row],[Caixa]]="Receita","Recebido",IF(G117="","",IF(H117="","",IF(H117&gt;G117,"Pago atrasado",IF(H117&lt;=G117,"Pago","Aguardando")))))</f>
        <v/>
      </c>
    </row>
    <row r="118" spans="1:10" ht="21" customHeight="1" x14ac:dyDescent="0.2">
      <c r="A118" s="28"/>
      <c r="B118" s="29"/>
      <c r="C118" s="29"/>
      <c r="D118" s="48" t="str">
        <f>IFERROR(VLOOKUP(Tabela1[[#This Row],[Tag]],TAGS!$J$1:$K$9,2,0),"")</f>
        <v/>
      </c>
      <c r="E118" s="29"/>
      <c r="F118" s="30"/>
      <c r="G118" s="31"/>
      <c r="H118" s="31"/>
      <c r="I118" s="4" t="str">
        <f t="shared" si="6"/>
        <v/>
      </c>
      <c r="J118" s="5" t="str">
        <f>IF(Tabela1[[#This Row],[Caixa]]="Receita","Recebido",IF(G118="","",IF(H118="","",IF(H118&gt;G118,"Pago atrasado",IF(H118&lt;=G118,"Pago","Aguardando")))))</f>
        <v/>
      </c>
    </row>
    <row r="119" spans="1:10" ht="21" customHeight="1" x14ac:dyDescent="0.2">
      <c r="A119" s="28"/>
      <c r="B119" s="29"/>
      <c r="C119" s="29"/>
      <c r="D119" s="48" t="str">
        <f>IFERROR(VLOOKUP(Tabela1[[#This Row],[Tag]],TAGS!$J$1:$K$9,2,0),"")</f>
        <v/>
      </c>
      <c r="E119" s="29"/>
      <c r="F119" s="30"/>
      <c r="G119" s="31"/>
      <c r="H119" s="31"/>
      <c r="I119" s="4" t="str">
        <f t="shared" si="6"/>
        <v/>
      </c>
      <c r="J119" s="5" t="str">
        <f>IF(Tabela1[[#This Row],[Caixa]]="Receita","Recebido",IF(G119="","",IF(H119="","",IF(H119&gt;G119,"Pago atrasado",IF(H119&lt;=G119,"Pago","Aguardando")))))</f>
        <v/>
      </c>
    </row>
    <row r="120" spans="1:10" ht="21" customHeight="1" x14ac:dyDescent="0.2">
      <c r="A120" s="28"/>
      <c r="B120" s="29"/>
      <c r="C120" s="29"/>
      <c r="D120" s="48" t="str">
        <f>IFERROR(VLOOKUP(Tabela1[[#This Row],[Tag]],TAGS!$J$1:$K$9,2,0),"")</f>
        <v/>
      </c>
      <c r="E120" s="29"/>
      <c r="F120" s="30"/>
      <c r="G120" s="31"/>
      <c r="H120" s="31"/>
      <c r="I120" s="4" t="str">
        <f t="shared" si="6"/>
        <v/>
      </c>
      <c r="J120" s="5" t="str">
        <f>IF(Tabela1[[#This Row],[Caixa]]="Receita","Recebido",IF(G120="","",IF(H120="","",IF(H120&gt;G120,"Pago atrasado",IF(H120&lt;=G120,"Pago","Aguardando")))))</f>
        <v/>
      </c>
    </row>
    <row r="121" spans="1:10" ht="21" customHeight="1" x14ac:dyDescent="0.2">
      <c r="A121" s="28"/>
      <c r="B121" s="29"/>
      <c r="C121" s="29"/>
      <c r="D121" s="48" t="str">
        <f>IFERROR(VLOOKUP(Tabela1[[#This Row],[Tag]],TAGS!$J$1:$K$9,2,0),"")</f>
        <v/>
      </c>
      <c r="E121" s="29"/>
      <c r="F121" s="30"/>
      <c r="G121" s="31"/>
      <c r="H121" s="31"/>
      <c r="I121" s="4" t="str">
        <f t="shared" si="6"/>
        <v/>
      </c>
      <c r="J121" s="5" t="str">
        <f>IF(Tabela1[[#This Row],[Caixa]]="Receita","Recebido",IF(G121="","",IF(H121="","",IF(H121&gt;G121,"Pago atrasado",IF(H121&lt;=G121,"Pago","Aguardando")))))</f>
        <v/>
      </c>
    </row>
    <row r="122" spans="1:10" ht="21" customHeight="1" x14ac:dyDescent="0.2">
      <c r="A122" s="28"/>
      <c r="B122" s="29"/>
      <c r="C122" s="29"/>
      <c r="D122" s="48" t="str">
        <f>IFERROR(VLOOKUP(Tabela1[[#This Row],[Tag]],TAGS!$J$1:$K$9,2,0),"")</f>
        <v/>
      </c>
      <c r="E122" s="29"/>
      <c r="F122" s="30"/>
      <c r="G122" s="31"/>
      <c r="H122" s="31"/>
      <c r="I122" s="4" t="str">
        <f t="shared" si="6"/>
        <v/>
      </c>
      <c r="J122" s="5" t="str">
        <f>IF(Tabela1[[#This Row],[Caixa]]="Receita","Recebido",IF(G122="","",IF(H122="","",IF(H122&gt;G122,"Pago atrasado",IF(H122&lt;=G122,"Pago","Aguardando")))))</f>
        <v/>
      </c>
    </row>
    <row r="123" spans="1:10" ht="21" customHeight="1" x14ac:dyDescent="0.2">
      <c r="A123" s="28"/>
      <c r="B123" s="29"/>
      <c r="C123" s="29"/>
      <c r="D123" s="48" t="str">
        <f>IFERROR(VLOOKUP(Tabela1[[#This Row],[Tag]],TAGS!$J$1:$K$9,2,0),"")</f>
        <v/>
      </c>
      <c r="E123" s="29"/>
      <c r="F123" s="30"/>
      <c r="G123" s="31"/>
      <c r="H123" s="31"/>
      <c r="I123" s="4" t="str">
        <f t="shared" si="6"/>
        <v/>
      </c>
      <c r="J123" s="5" t="str">
        <f>IF(Tabela1[[#This Row],[Caixa]]="Receita","Recebido",IF(G123="","",IF(H123="","",IF(H123&gt;G123,"Pago atrasado",IF(H123&lt;=G123,"Pago","Aguardando")))))</f>
        <v/>
      </c>
    </row>
    <row r="124" spans="1:10" ht="21" customHeight="1" x14ac:dyDescent="0.2">
      <c r="A124" s="28"/>
      <c r="B124" s="29"/>
      <c r="C124" s="29"/>
      <c r="D124" s="48" t="str">
        <f>IFERROR(VLOOKUP(Tabela1[[#This Row],[Tag]],TAGS!$J$1:$K$9,2,0),"")</f>
        <v/>
      </c>
      <c r="E124" s="29"/>
      <c r="F124" s="30"/>
      <c r="G124" s="31"/>
      <c r="H124" s="31"/>
      <c r="I124" s="4" t="str">
        <f t="shared" si="6"/>
        <v/>
      </c>
      <c r="J124" s="5" t="str">
        <f>IF(Tabela1[[#This Row],[Caixa]]="Receita","Recebido",IF(G124="","",IF(H124="","",IF(H124&gt;G124,"Pago atrasado",IF(H124&lt;=G124,"Pago","Aguardando")))))</f>
        <v/>
      </c>
    </row>
    <row r="125" spans="1:10" ht="21" customHeight="1" x14ac:dyDescent="0.2">
      <c r="A125" s="28"/>
      <c r="B125" s="29"/>
      <c r="C125" s="29"/>
      <c r="D125" s="48" t="str">
        <f>IFERROR(VLOOKUP(Tabela1[[#This Row],[Tag]],TAGS!$J$1:$K$9,2,0),"")</f>
        <v/>
      </c>
      <c r="E125" s="29"/>
      <c r="F125" s="30"/>
      <c r="G125" s="31"/>
      <c r="H125" s="31"/>
      <c r="I125" s="4" t="str">
        <f t="shared" si="6"/>
        <v/>
      </c>
      <c r="J125" s="5" t="str">
        <f>IF(Tabela1[[#This Row],[Caixa]]="Receita","Recebido",IF(G125="","",IF(H125="","",IF(H125&gt;G125,"Pago atrasado",IF(H125&lt;=G125,"Pago","Aguardando")))))</f>
        <v/>
      </c>
    </row>
    <row r="126" spans="1:10" ht="21" customHeight="1" x14ac:dyDescent="0.2">
      <c r="A126" s="28"/>
      <c r="B126" s="29"/>
      <c r="C126" s="29"/>
      <c r="D126" s="48" t="str">
        <f>IFERROR(VLOOKUP(Tabela1[[#This Row],[Tag]],TAGS!$J$1:$K$9,2,0),"")</f>
        <v/>
      </c>
      <c r="E126" s="29"/>
      <c r="F126" s="30"/>
      <c r="G126" s="31"/>
      <c r="H126" s="31"/>
      <c r="I126" s="4" t="str">
        <f t="shared" si="6"/>
        <v/>
      </c>
      <c r="J126" s="5" t="str">
        <f>IF(Tabela1[[#This Row],[Caixa]]="Receita","Recebido",IF(G126="","",IF(H126="","",IF(H126&gt;G126,"Pago atrasado",IF(H126&lt;=G126,"Pago","Aguardando")))))</f>
        <v/>
      </c>
    </row>
    <row r="127" spans="1:10" ht="21" customHeight="1" x14ac:dyDescent="0.2">
      <c r="A127" s="28"/>
      <c r="B127" s="29"/>
      <c r="C127" s="29"/>
      <c r="D127" s="48" t="str">
        <f>IFERROR(VLOOKUP(Tabela1[[#This Row],[Tag]],TAGS!$J$1:$K$9,2,0),"")</f>
        <v/>
      </c>
      <c r="E127" s="29"/>
      <c r="F127" s="30"/>
      <c r="G127" s="31"/>
      <c r="H127" s="31"/>
      <c r="I127" s="4" t="str">
        <f t="shared" si="6"/>
        <v/>
      </c>
      <c r="J127" s="5" t="str">
        <f>IF(Tabela1[[#This Row],[Caixa]]="Receita","Recebido",IF(G127="","",IF(H127="","",IF(H127&gt;G127,"Pago atrasado",IF(H127&lt;=G127,"Pago","Aguardando")))))</f>
        <v/>
      </c>
    </row>
    <row r="128" spans="1:10" ht="21" customHeight="1" x14ac:dyDescent="0.2">
      <c r="A128" s="28"/>
      <c r="B128" s="29"/>
      <c r="C128" s="29"/>
      <c r="D128" s="48" t="str">
        <f>IFERROR(VLOOKUP(Tabela1[[#This Row],[Tag]],TAGS!$J$1:$K$9,2,0),"")</f>
        <v/>
      </c>
      <c r="E128" s="29"/>
      <c r="F128" s="30"/>
      <c r="G128" s="31"/>
      <c r="H128" s="31"/>
      <c r="I128" s="4" t="str">
        <f t="shared" si="6"/>
        <v/>
      </c>
      <c r="J128" s="5" t="str">
        <f>IF(Tabela1[[#This Row],[Caixa]]="Receita","Recebido",IF(G128="","",IF(H128="","",IF(H128&gt;G128,"Pago atrasado",IF(H128&lt;=G128,"Pago","Aguardando")))))</f>
        <v/>
      </c>
    </row>
    <row r="129" spans="1:10" ht="21" customHeight="1" x14ac:dyDescent="0.2">
      <c r="A129" s="28"/>
      <c r="B129" s="29"/>
      <c r="C129" s="29"/>
      <c r="D129" s="48" t="str">
        <f>IFERROR(VLOOKUP(Tabela1[[#This Row],[Tag]],TAGS!$J$1:$K$9,2,0),"")</f>
        <v/>
      </c>
      <c r="E129" s="29"/>
      <c r="F129" s="30"/>
      <c r="G129" s="31"/>
      <c r="H129" s="31"/>
      <c r="I129" s="4" t="str">
        <f t="shared" si="6"/>
        <v/>
      </c>
      <c r="J129" s="5" t="str">
        <f>IF(Tabela1[[#This Row],[Caixa]]="Receita","Recebido",IF(G129="","",IF(H129="","",IF(H129&gt;G129,"Pago atrasado",IF(H129&lt;=G129,"Pago","Aguardando")))))</f>
        <v/>
      </c>
    </row>
    <row r="130" spans="1:10" ht="21" customHeight="1" x14ac:dyDescent="0.2">
      <c r="A130" s="28"/>
      <c r="B130" s="29"/>
      <c r="C130" s="29"/>
      <c r="D130" s="48" t="str">
        <f>IFERROR(VLOOKUP(Tabela1[[#This Row],[Tag]],TAGS!$J$1:$K$9,2,0),"")</f>
        <v/>
      </c>
      <c r="E130" s="29"/>
      <c r="F130" s="30"/>
      <c r="G130" s="31"/>
      <c r="H130" s="31"/>
      <c r="I130" s="4" t="str">
        <f t="shared" si="6"/>
        <v/>
      </c>
      <c r="J130" s="5" t="str">
        <f>IF(Tabela1[[#This Row],[Caixa]]="Receita","Recebido",IF(G130="","",IF(H130="","",IF(H130&gt;G130,"Pago atrasado",IF(H130&lt;=G130,"Pago","Aguardando")))))</f>
        <v/>
      </c>
    </row>
    <row r="131" spans="1:10" ht="21" customHeight="1" x14ac:dyDescent="0.2">
      <c r="A131" s="28"/>
      <c r="B131" s="29"/>
      <c r="C131" s="29"/>
      <c r="D131" s="48" t="str">
        <f>IFERROR(VLOOKUP(Tabela1[[#This Row],[Tag]],TAGS!$J$1:$K$9,2,0),"")</f>
        <v/>
      </c>
      <c r="E131" s="29"/>
      <c r="F131" s="30"/>
      <c r="G131" s="31"/>
      <c r="H131" s="31"/>
      <c r="I131" s="4" t="str">
        <f t="shared" si="6"/>
        <v/>
      </c>
      <c r="J131" s="5" t="str">
        <f>IF(Tabela1[[#This Row],[Caixa]]="Receita","Recebido",IF(G131="","",IF(H131="","",IF(H131&gt;G131,"Pago atrasado",IF(H131&lt;=G131,"Pago","Aguardando")))))</f>
        <v/>
      </c>
    </row>
    <row r="132" spans="1:10" ht="21" customHeight="1" x14ac:dyDescent="0.2">
      <c r="A132" s="28"/>
      <c r="B132" s="29"/>
      <c r="C132" s="29"/>
      <c r="D132" s="48" t="str">
        <f>IFERROR(VLOOKUP(Tabela1[[#This Row],[Tag]],TAGS!$J$1:$K$9,2,0),"")</f>
        <v/>
      </c>
      <c r="E132" s="29"/>
      <c r="F132" s="30"/>
      <c r="G132" s="31"/>
      <c r="H132" s="31"/>
      <c r="I132" s="4" t="str">
        <f t="shared" si="6"/>
        <v/>
      </c>
      <c r="J132" s="5" t="str">
        <f>IF(Tabela1[[#This Row],[Caixa]]="Receita","Recebido",IF(G132="","",IF(H132="","",IF(H132&gt;G132,"Pago atrasado",IF(H132&lt;=G132,"Pago","Aguardando")))))</f>
        <v/>
      </c>
    </row>
    <row r="133" spans="1:10" ht="21" customHeight="1" x14ac:dyDescent="0.2">
      <c r="A133" s="28"/>
      <c r="B133" s="29"/>
      <c r="C133" s="29"/>
      <c r="D133" s="48" t="str">
        <f>IFERROR(VLOOKUP(Tabela1[[#This Row],[Tag]],TAGS!$J$1:$K$9,2,0),"")</f>
        <v/>
      </c>
      <c r="E133" s="29"/>
      <c r="F133" s="30"/>
      <c r="G133" s="31"/>
      <c r="H133" s="31"/>
      <c r="I133" s="4" t="str">
        <f t="shared" si="6"/>
        <v/>
      </c>
      <c r="J133" s="5" t="str">
        <f>IF(Tabela1[[#This Row],[Caixa]]="Receita","Recebido",IF(G133="","",IF(H133="","",IF(H133&gt;G133,"Pago atrasado",IF(H133&lt;=G133,"Pago","Aguardando")))))</f>
        <v/>
      </c>
    </row>
    <row r="134" spans="1:10" ht="21" customHeight="1" x14ac:dyDescent="0.2">
      <c r="A134" s="28"/>
      <c r="B134" s="29"/>
      <c r="C134" s="29"/>
      <c r="D134" s="48" t="str">
        <f>IFERROR(VLOOKUP(Tabela1[[#This Row],[Tag]],TAGS!$J$1:$K$9,2,0),"")</f>
        <v/>
      </c>
      <c r="E134" s="29"/>
      <c r="F134" s="30"/>
      <c r="G134" s="31"/>
      <c r="H134" s="31"/>
      <c r="I134" s="4" t="str">
        <f t="shared" si="6"/>
        <v/>
      </c>
      <c r="J134" s="5" t="str">
        <f>IF(Tabela1[[#This Row],[Caixa]]="Receita","Recebido",IF(G134="","",IF(H134="","",IF(H134&gt;G134,"Pago atrasado",IF(H134&lt;=G134,"Pago","Aguardando")))))</f>
        <v/>
      </c>
    </row>
    <row r="135" spans="1:10" ht="21" customHeight="1" x14ac:dyDescent="0.2">
      <c r="A135" s="28"/>
      <c r="B135" s="29"/>
      <c r="C135" s="29"/>
      <c r="D135" s="48" t="str">
        <f>IFERROR(VLOOKUP(Tabela1[[#This Row],[Tag]],TAGS!$J$1:$K$9,2,0),"")</f>
        <v/>
      </c>
      <c r="E135" s="29"/>
      <c r="F135" s="30"/>
      <c r="G135" s="31"/>
      <c r="H135" s="31"/>
      <c r="I135" s="4" t="str">
        <f t="shared" si="6"/>
        <v/>
      </c>
      <c r="J135" s="5" t="str">
        <f>IF(Tabela1[[#This Row],[Caixa]]="Receita","Recebido",IF(G135="","",IF(H135="","",IF(H135&gt;G135,"Pago atrasado",IF(H135&lt;=G135,"Pago","Aguardando")))))</f>
        <v/>
      </c>
    </row>
    <row r="136" spans="1:10" ht="21" customHeight="1" x14ac:dyDescent="0.2">
      <c r="A136" s="28"/>
      <c r="B136" s="29"/>
      <c r="C136" s="29"/>
      <c r="D136" s="48" t="str">
        <f>IFERROR(VLOOKUP(Tabela1[[#This Row],[Tag]],TAGS!$J$1:$K$9,2,0),"")</f>
        <v/>
      </c>
      <c r="E136" s="29"/>
      <c r="F136" s="30"/>
      <c r="G136" s="31"/>
      <c r="H136" s="31"/>
      <c r="I136" s="4" t="str">
        <f t="shared" si="6"/>
        <v/>
      </c>
      <c r="J136" s="5" t="str">
        <f>IF(Tabela1[[#This Row],[Caixa]]="Receita","Recebido",IF(G136="","",IF(H136="","",IF(H136&gt;G136,"Pago atrasado",IF(H136&lt;=G136,"Pago","Aguardando")))))</f>
        <v/>
      </c>
    </row>
    <row r="137" spans="1:10" ht="21" customHeight="1" x14ac:dyDescent="0.2">
      <c r="A137" s="28"/>
      <c r="B137" s="29"/>
      <c r="C137" s="29"/>
      <c r="D137" s="48" t="str">
        <f>IFERROR(VLOOKUP(Tabela1[[#This Row],[Tag]],TAGS!$J$1:$K$9,2,0),"")</f>
        <v/>
      </c>
      <c r="E137" s="29"/>
      <c r="F137" s="30"/>
      <c r="G137" s="31"/>
      <c r="H137" s="31"/>
      <c r="I137" s="4" t="str">
        <f t="shared" si="6"/>
        <v/>
      </c>
      <c r="J137" s="5" t="str">
        <f>IF(Tabela1[[#This Row],[Caixa]]="Receita","Recebido",IF(G137="","",IF(H137="","",IF(H137&gt;G137,"Pago atrasado",IF(H137&lt;=G137,"Pago","Aguardando")))))</f>
        <v/>
      </c>
    </row>
    <row r="138" spans="1:10" ht="21" customHeight="1" x14ac:dyDescent="0.2">
      <c r="A138" s="28"/>
      <c r="B138" s="29"/>
      <c r="C138" s="29"/>
      <c r="D138" s="48" t="str">
        <f>IFERROR(VLOOKUP(Tabela1[[#This Row],[Tag]],TAGS!$J$1:$K$9,2,0),"")</f>
        <v/>
      </c>
      <c r="E138" s="29"/>
      <c r="F138" s="30"/>
      <c r="G138" s="31"/>
      <c r="H138" s="31"/>
      <c r="I138" s="4" t="str">
        <f t="shared" si="6"/>
        <v/>
      </c>
      <c r="J138" s="5" t="str">
        <f>IF(Tabela1[[#This Row],[Caixa]]="Receita","Recebido",IF(G138="","",IF(H138="","",IF(H138&gt;G138,"Pago atrasado",IF(H138&lt;=G138,"Pago","Aguardando")))))</f>
        <v/>
      </c>
    </row>
    <row r="139" spans="1:10" ht="21" customHeight="1" x14ac:dyDescent="0.2">
      <c r="A139" s="28"/>
      <c r="B139" s="29"/>
      <c r="C139" s="29"/>
      <c r="D139" s="48" t="str">
        <f>IFERROR(VLOOKUP(Tabela1[[#This Row],[Tag]],TAGS!$J$1:$K$9,2,0),"")</f>
        <v/>
      </c>
      <c r="E139" s="29"/>
      <c r="F139" s="30"/>
      <c r="G139" s="31"/>
      <c r="H139" s="31"/>
      <c r="I139" s="4" t="str">
        <f t="shared" si="6"/>
        <v/>
      </c>
      <c r="J139" s="5" t="str">
        <f>IF(Tabela1[[#This Row],[Caixa]]="Receita","Recebido",IF(G139="","",IF(H139="","",IF(H139&gt;G139,"Pago atrasado",IF(H139&lt;=G139,"Pago","Aguardando")))))</f>
        <v/>
      </c>
    </row>
    <row r="140" spans="1:10" ht="21" customHeight="1" x14ac:dyDescent="0.2">
      <c r="A140" s="28"/>
      <c r="B140" s="29"/>
      <c r="C140" s="29"/>
      <c r="D140" s="48" t="str">
        <f>IFERROR(VLOOKUP(Tabela1[[#This Row],[Tag]],TAGS!$J$1:$K$9,2,0),"")</f>
        <v/>
      </c>
      <c r="E140" s="29"/>
      <c r="F140" s="30"/>
      <c r="G140" s="31"/>
      <c r="H140" s="31"/>
      <c r="I140" s="4" t="str">
        <f t="shared" si="6"/>
        <v/>
      </c>
      <c r="J140" s="5" t="str">
        <f>IF(Tabela1[[#This Row],[Caixa]]="Receita","Recebido",IF(G140="","",IF(H140="","",IF(H140&gt;G140,"Pago atrasado",IF(H140&lt;=G140,"Pago","Aguardando")))))</f>
        <v/>
      </c>
    </row>
    <row r="141" spans="1:10" ht="21" customHeight="1" x14ac:dyDescent="0.2">
      <c r="A141" s="28"/>
      <c r="B141" s="29"/>
      <c r="C141" s="29"/>
      <c r="D141" s="48" t="str">
        <f>IFERROR(VLOOKUP(Tabela1[[#This Row],[Tag]],TAGS!$J$1:$K$9,2,0),"")</f>
        <v/>
      </c>
      <c r="E141" s="29"/>
      <c r="F141" s="30"/>
      <c r="G141" s="31"/>
      <c r="H141" s="31"/>
      <c r="I141" s="4" t="str">
        <f t="shared" si="6"/>
        <v/>
      </c>
      <c r="J141" s="5" t="str">
        <f>IF(Tabela1[[#This Row],[Caixa]]="Receita","Recebido",IF(G141="","",IF(H141="","",IF(H141&gt;G141,"Pago atrasado",IF(H141&lt;=G141,"Pago","Aguardando")))))</f>
        <v/>
      </c>
    </row>
    <row r="142" spans="1:10" ht="21" customHeight="1" x14ac:dyDescent="0.2">
      <c r="A142" s="28"/>
      <c r="B142" s="29"/>
      <c r="C142" s="29"/>
      <c r="D142" s="48" t="str">
        <f>IFERROR(VLOOKUP(Tabela1[[#This Row],[Tag]],TAGS!$J$1:$K$9,2,0),"")</f>
        <v/>
      </c>
      <c r="E142" s="29"/>
      <c r="F142" s="30"/>
      <c r="G142" s="31"/>
      <c r="H142" s="31"/>
      <c r="I142" s="4" t="str">
        <f t="shared" si="6"/>
        <v/>
      </c>
      <c r="J142" s="5" t="str">
        <f>IF(Tabela1[[#This Row],[Caixa]]="Receita","Recebido",IF(G142="","",IF(H142="","",IF(H142&gt;G142,"Pago atrasado",IF(H142&lt;=G142,"Pago","Aguardando")))))</f>
        <v/>
      </c>
    </row>
    <row r="143" spans="1:10" ht="21" customHeight="1" x14ac:dyDescent="0.2">
      <c r="A143" s="28"/>
      <c r="B143" s="29"/>
      <c r="C143" s="29"/>
      <c r="D143" s="48" t="str">
        <f>IFERROR(VLOOKUP(Tabela1[[#This Row],[Tag]],TAGS!$J$1:$K$9,2,0),"")</f>
        <v/>
      </c>
      <c r="E143" s="29"/>
      <c r="F143" s="30"/>
      <c r="G143" s="31"/>
      <c r="H143" s="31"/>
      <c r="I143" s="4" t="str">
        <f t="shared" si="6"/>
        <v/>
      </c>
      <c r="J143" s="5" t="str">
        <f>IF(Tabela1[[#This Row],[Caixa]]="Receita","Recebido",IF(G143="","",IF(H143="","",IF(H143&gt;G143,"Pago atrasado",IF(H143&lt;=G143,"Pago","Aguardando")))))</f>
        <v/>
      </c>
    </row>
    <row r="144" spans="1:10" ht="21" customHeight="1" x14ac:dyDescent="0.2">
      <c r="A144" s="28"/>
      <c r="B144" s="29"/>
      <c r="C144" s="29"/>
      <c r="D144" s="48" t="str">
        <f>IFERROR(VLOOKUP(Tabela1[[#This Row],[Tag]],TAGS!$J$1:$K$9,2,0),"")</f>
        <v/>
      </c>
      <c r="E144" s="29"/>
      <c r="F144" s="30"/>
      <c r="G144" s="31"/>
      <c r="H144" s="31"/>
      <c r="I144" s="4" t="str">
        <f t="shared" si="6"/>
        <v/>
      </c>
      <c r="J144" s="5" t="str">
        <f>IF(Tabela1[[#This Row],[Caixa]]="Receita","Recebido",IF(G144="","",IF(H144="","",IF(H144&gt;G144,"Pago atrasado",IF(H144&lt;=G144,"Pago","Aguardando")))))</f>
        <v/>
      </c>
    </row>
    <row r="145" spans="1:10" ht="21" customHeight="1" x14ac:dyDescent="0.2">
      <c r="A145" s="28"/>
      <c r="B145" s="29"/>
      <c r="C145" s="29"/>
      <c r="D145" s="48" t="str">
        <f>IFERROR(VLOOKUP(Tabela1[[#This Row],[Tag]],TAGS!$J$1:$K$9,2,0),"")</f>
        <v/>
      </c>
      <c r="E145" s="29"/>
      <c r="F145" s="30"/>
      <c r="G145" s="31"/>
      <c r="H145" s="31"/>
      <c r="I145" s="4" t="str">
        <f t="shared" si="6"/>
        <v/>
      </c>
      <c r="J145" s="5" t="str">
        <f>IF(Tabela1[[#This Row],[Caixa]]="Receita","Recebido",IF(G145="","",IF(H145="","",IF(H145&gt;G145,"Pago atrasado",IF(H145&lt;=G145,"Pago","Aguardando")))))</f>
        <v/>
      </c>
    </row>
    <row r="146" spans="1:10" ht="21" customHeight="1" x14ac:dyDescent="0.2">
      <c r="A146" s="28"/>
      <c r="B146" s="29"/>
      <c r="C146" s="29"/>
      <c r="D146" s="48" t="str">
        <f>IFERROR(VLOOKUP(Tabela1[[#This Row],[Tag]],TAGS!$J$1:$K$9,2,0),"")</f>
        <v/>
      </c>
      <c r="E146" s="29"/>
      <c r="F146" s="30"/>
      <c r="G146" s="31"/>
      <c r="H146" s="31"/>
      <c r="I146" s="4" t="str">
        <f t="shared" si="6"/>
        <v/>
      </c>
      <c r="J146" s="5" t="str">
        <f>IF(Tabela1[[#This Row],[Caixa]]="Receita","Recebido",IF(G146="","",IF(H146="","",IF(H146&gt;G146,"Pago atrasado",IF(H146&lt;=G146,"Pago","Aguardando")))))</f>
        <v/>
      </c>
    </row>
    <row r="147" spans="1:10" ht="21" customHeight="1" x14ac:dyDescent="0.2">
      <c r="A147" s="28"/>
      <c r="B147" s="29"/>
      <c r="C147" s="29"/>
      <c r="D147" s="48" t="str">
        <f>IFERROR(VLOOKUP(Tabela1[[#This Row],[Tag]],TAGS!$J$1:$K$9,2,0),"")</f>
        <v/>
      </c>
      <c r="E147" s="29"/>
      <c r="F147" s="30"/>
      <c r="G147" s="31"/>
      <c r="H147" s="31"/>
      <c r="I147" s="4" t="str">
        <f t="shared" si="6"/>
        <v/>
      </c>
      <c r="J147" s="5" t="str">
        <f>IF(Tabela1[[#This Row],[Caixa]]="Receita","Recebido",IF(G147="","",IF(H147="","",IF(H147&gt;G147,"Pago atrasado",IF(H147&lt;=G147,"Pago","Aguardando")))))</f>
        <v/>
      </c>
    </row>
    <row r="148" spans="1:10" ht="21" customHeight="1" x14ac:dyDescent="0.2">
      <c r="A148" s="28"/>
      <c r="B148" s="29"/>
      <c r="C148" s="29"/>
      <c r="D148" s="48" t="str">
        <f>IFERROR(VLOOKUP(Tabela1[[#This Row],[Tag]],TAGS!$J$1:$K$9,2,0),"")</f>
        <v/>
      </c>
      <c r="E148" s="29"/>
      <c r="F148" s="30"/>
      <c r="G148" s="31"/>
      <c r="H148" s="31"/>
      <c r="I148" s="4" t="str">
        <f t="shared" si="6"/>
        <v/>
      </c>
      <c r="J148" s="5" t="str">
        <f>IF(Tabela1[[#This Row],[Caixa]]="Receita","Recebido",IF(G148="","",IF(H148="","",IF(H148&gt;G148,"Pago atrasado",IF(H148&lt;=G148,"Pago","Aguardando")))))</f>
        <v/>
      </c>
    </row>
    <row r="149" spans="1:10" ht="21" customHeight="1" x14ac:dyDescent="0.2">
      <c r="A149" s="28"/>
      <c r="B149" s="29"/>
      <c r="C149" s="29"/>
      <c r="D149" s="48" t="str">
        <f>IFERROR(VLOOKUP(Tabela1[[#This Row],[Tag]],TAGS!$J$1:$K$9,2,0),"")</f>
        <v/>
      </c>
      <c r="E149" s="29"/>
      <c r="F149" s="30"/>
      <c r="G149" s="31"/>
      <c r="H149" s="31"/>
      <c r="I149" s="4" t="str">
        <f t="shared" si="6"/>
        <v/>
      </c>
      <c r="J149" s="5" t="str">
        <f>IF(Tabela1[[#This Row],[Caixa]]="Receita","Recebido",IF(G149="","",IF(H149="","",IF(H149&gt;G149,"Pago atrasado",IF(H149&lt;=G149,"Pago","Aguardando")))))</f>
        <v/>
      </c>
    </row>
    <row r="150" spans="1:10" ht="21" customHeight="1" x14ac:dyDescent="0.2">
      <c r="A150" s="28"/>
      <c r="B150" s="29"/>
      <c r="C150" s="29"/>
      <c r="D150" s="48" t="str">
        <f>IFERROR(VLOOKUP(Tabela1[[#This Row],[Tag]],TAGS!$J$1:$K$9,2,0),"")</f>
        <v/>
      </c>
      <c r="E150" s="29"/>
      <c r="F150" s="30"/>
      <c r="G150" s="31"/>
      <c r="H150" s="31"/>
      <c r="I150" s="4" t="str">
        <f t="shared" si="6"/>
        <v/>
      </c>
      <c r="J150" s="5" t="str">
        <f>IF(Tabela1[[#This Row],[Caixa]]="Receita","Recebido",IF(G150="","",IF(H150="","",IF(H150&gt;G150,"Pago atrasado",IF(H150&lt;=G150,"Pago","Aguardando")))))</f>
        <v/>
      </c>
    </row>
    <row r="151" spans="1:10" ht="21" customHeight="1" x14ac:dyDescent="0.2">
      <c r="A151" s="28"/>
      <c r="B151" s="29"/>
      <c r="C151" s="29"/>
      <c r="D151" s="48" t="str">
        <f>IFERROR(VLOOKUP(Tabela1[[#This Row],[Tag]],TAGS!$J$1:$K$9,2,0),"")</f>
        <v/>
      </c>
      <c r="E151" s="29"/>
      <c r="F151" s="30"/>
      <c r="G151" s="31"/>
      <c r="H151" s="31"/>
      <c r="I151" s="4" t="str">
        <f t="shared" si="6"/>
        <v/>
      </c>
      <c r="J151" s="5" t="str">
        <f>IF(Tabela1[[#This Row],[Caixa]]="Receita","Recebido",IF(G151="","",IF(H151="","",IF(H151&gt;G151,"Pago atrasado",IF(H151&lt;=G151,"Pago","Aguardando")))))</f>
        <v/>
      </c>
    </row>
    <row r="152" spans="1:10" ht="21" customHeight="1" x14ac:dyDescent="0.2">
      <c r="A152" s="28"/>
      <c r="B152" s="29"/>
      <c r="C152" s="29"/>
      <c r="D152" s="48" t="str">
        <f>IFERROR(VLOOKUP(Tabela1[[#This Row],[Tag]],TAGS!$J$1:$K$9,2,0),"")</f>
        <v/>
      </c>
      <c r="E152" s="29"/>
      <c r="F152" s="30"/>
      <c r="G152" s="31"/>
      <c r="H152" s="31"/>
      <c r="I152" s="4" t="str">
        <f t="shared" si="6"/>
        <v/>
      </c>
      <c r="J152" s="5" t="str">
        <f>IF(Tabela1[[#This Row],[Caixa]]="Receita","Recebido",IF(G152="","",IF(H152="","",IF(H152&gt;G152,"Pago atrasado",IF(H152&lt;=G152,"Pago","Aguardando")))))</f>
        <v/>
      </c>
    </row>
    <row r="153" spans="1:10" ht="21" customHeight="1" x14ac:dyDescent="0.2">
      <c r="A153" s="28"/>
      <c r="B153" s="29"/>
      <c r="C153" s="29"/>
      <c r="D153" s="48" t="str">
        <f>IFERROR(VLOOKUP(Tabela1[[#This Row],[Tag]],TAGS!$J$1:$K$9,2,0),"")</f>
        <v/>
      </c>
      <c r="E153" s="29"/>
      <c r="F153" s="30"/>
      <c r="G153" s="31"/>
      <c r="H153" s="31"/>
      <c r="I153" s="4" t="str">
        <f t="shared" si="6"/>
        <v/>
      </c>
      <c r="J153" s="5" t="str">
        <f>IF(Tabela1[[#This Row],[Caixa]]="Receita","Recebido",IF(G153="","",IF(H153="","",IF(H153&gt;G153,"Pago atrasado",IF(H153&lt;=G153,"Pago","Aguardando")))))</f>
        <v/>
      </c>
    </row>
    <row r="154" spans="1:10" ht="21" customHeight="1" x14ac:dyDescent="0.2">
      <c r="A154" s="28"/>
      <c r="B154" s="29"/>
      <c r="C154" s="29"/>
      <c r="D154" s="48" t="str">
        <f>IFERROR(VLOOKUP(Tabela1[[#This Row],[Tag]],TAGS!$J$1:$K$9,2,0),"")</f>
        <v/>
      </c>
      <c r="E154" s="29"/>
      <c r="F154" s="30"/>
      <c r="G154" s="31"/>
      <c r="H154" s="31"/>
      <c r="I154" s="4" t="str">
        <f t="shared" si="6"/>
        <v/>
      </c>
      <c r="J154" s="5" t="str">
        <f>IF(Tabela1[[#This Row],[Caixa]]="Receita","Recebido",IF(G154="","",IF(H154="","",IF(H154&gt;G154,"Pago atrasado",IF(H154&lt;=G154,"Pago","Aguardando")))))</f>
        <v/>
      </c>
    </row>
    <row r="155" spans="1:10" ht="21" customHeight="1" x14ac:dyDescent="0.2">
      <c r="A155" s="28"/>
      <c r="B155" s="29"/>
      <c r="C155" s="29"/>
      <c r="D155" s="48" t="str">
        <f>IFERROR(VLOOKUP(Tabela1[[#This Row],[Tag]],TAGS!$J$1:$K$9,2,0),"")</f>
        <v/>
      </c>
      <c r="E155" s="29"/>
      <c r="F155" s="30"/>
      <c r="G155" s="31"/>
      <c r="H155" s="31"/>
      <c r="I155" s="4" t="str">
        <f t="shared" si="6"/>
        <v/>
      </c>
      <c r="J155" s="5" t="str">
        <f>IF(Tabela1[[#This Row],[Caixa]]="Receita","Recebido",IF(G155="","",IF(H155="","",IF(H155&gt;G155,"Pago atrasado",IF(H155&lt;=G155,"Pago","Aguardando")))))</f>
        <v/>
      </c>
    </row>
    <row r="156" spans="1:10" ht="21" customHeight="1" x14ac:dyDescent="0.2">
      <c r="A156" s="28"/>
      <c r="B156" s="29"/>
      <c r="C156" s="29"/>
      <c r="D156" s="48" t="str">
        <f>IFERROR(VLOOKUP(Tabela1[[#This Row],[Tag]],TAGS!$J$1:$K$9,2,0),"")</f>
        <v/>
      </c>
      <c r="E156" s="29"/>
      <c r="F156" s="30"/>
      <c r="G156" s="31"/>
      <c r="H156" s="31"/>
      <c r="I156" s="4" t="str">
        <f t="shared" si="6"/>
        <v/>
      </c>
      <c r="J156" s="5" t="str">
        <f>IF(Tabela1[[#This Row],[Caixa]]="Receita","Recebido",IF(G156="","",IF(H156="","",IF(H156&gt;G156,"Pago atrasado",IF(H156&lt;=G156,"Pago","Aguardando")))))</f>
        <v/>
      </c>
    </row>
    <row r="157" spans="1:10" ht="21" customHeight="1" x14ac:dyDescent="0.2">
      <c r="A157" s="28"/>
      <c r="B157" s="29"/>
      <c r="C157" s="29"/>
      <c r="D157" s="48" t="str">
        <f>IFERROR(VLOOKUP(Tabela1[[#This Row],[Tag]],TAGS!$J$1:$K$9,2,0),"")</f>
        <v/>
      </c>
      <c r="E157" s="29"/>
      <c r="F157" s="30"/>
      <c r="G157" s="31"/>
      <c r="H157" s="31"/>
      <c r="I157" s="4" t="str">
        <f t="shared" si="6"/>
        <v/>
      </c>
      <c r="J157" s="5" t="str">
        <f>IF(Tabela1[[#This Row],[Caixa]]="Receita","Recebido",IF(G157="","",IF(H157="","",IF(H157&gt;G157,"Pago atrasado",IF(H157&lt;=G157,"Pago","Aguardando")))))</f>
        <v/>
      </c>
    </row>
    <row r="158" spans="1:10" ht="21" customHeight="1" x14ac:dyDescent="0.2">
      <c r="A158" s="28"/>
      <c r="B158" s="29"/>
      <c r="C158" s="29"/>
      <c r="D158" s="48" t="str">
        <f>IFERROR(VLOOKUP(Tabela1[[#This Row],[Tag]],TAGS!$J$1:$K$9,2,0),"")</f>
        <v/>
      </c>
      <c r="E158" s="29"/>
      <c r="F158" s="30"/>
      <c r="G158" s="31"/>
      <c r="H158" s="31"/>
      <c r="I158" s="4" t="str">
        <f t="shared" si="6"/>
        <v/>
      </c>
      <c r="J158" s="5" t="str">
        <f>IF(Tabela1[[#This Row],[Caixa]]="Receita","Recebido",IF(G158="","",IF(H158="","",IF(H158&gt;G158,"Pago atrasado",IF(H158&lt;=G158,"Pago","Aguardando")))))</f>
        <v/>
      </c>
    </row>
    <row r="159" spans="1:10" ht="21" customHeight="1" x14ac:dyDescent="0.2">
      <c r="A159" s="28"/>
      <c r="B159" s="29"/>
      <c r="C159" s="29"/>
      <c r="D159" s="48" t="str">
        <f>IFERROR(VLOOKUP(Tabela1[[#This Row],[Tag]],TAGS!$J$1:$K$9,2,0),"")</f>
        <v/>
      </c>
      <c r="E159" s="29"/>
      <c r="F159" s="30"/>
      <c r="G159" s="31"/>
      <c r="H159" s="31"/>
      <c r="I159" s="4" t="str">
        <f t="shared" si="6"/>
        <v/>
      </c>
      <c r="J159" s="5" t="str">
        <f>IF(Tabela1[[#This Row],[Caixa]]="Receita","Recebido",IF(G159="","",IF(H159="","",IF(H159&gt;G159,"Pago atrasado",IF(H159&lt;=G159,"Pago","Aguardando")))))</f>
        <v/>
      </c>
    </row>
    <row r="160" spans="1:10" ht="21" customHeight="1" x14ac:dyDescent="0.2">
      <c r="A160" s="28"/>
      <c r="B160" s="29"/>
      <c r="C160" s="29"/>
      <c r="D160" s="48" t="str">
        <f>IFERROR(VLOOKUP(Tabela1[[#This Row],[Tag]],TAGS!$J$1:$K$9,2,0),"")</f>
        <v/>
      </c>
      <c r="E160" s="29"/>
      <c r="F160" s="30"/>
      <c r="G160" s="31"/>
      <c r="H160" s="31"/>
      <c r="I160" s="4" t="str">
        <f t="shared" si="6"/>
        <v/>
      </c>
      <c r="J160" s="5" t="str">
        <f>IF(Tabela1[[#This Row],[Caixa]]="Receita","Recebido",IF(G160="","",IF(H160="","",IF(H160&gt;G160,"Pago atrasado",IF(H160&lt;=G160,"Pago","Aguardando")))))</f>
        <v/>
      </c>
    </row>
    <row r="161" spans="1:10" ht="21" customHeight="1" x14ac:dyDescent="0.2">
      <c r="A161" s="28"/>
      <c r="B161" s="29"/>
      <c r="C161" s="29"/>
      <c r="D161" s="48" t="str">
        <f>IFERROR(VLOOKUP(Tabela1[[#This Row],[Tag]],TAGS!$J$1:$K$9,2,0),"")</f>
        <v/>
      </c>
      <c r="E161" s="29"/>
      <c r="F161" s="30"/>
      <c r="G161" s="31"/>
      <c r="H161" s="31"/>
      <c r="I161" s="4" t="str">
        <f t="shared" si="6"/>
        <v/>
      </c>
      <c r="J161" s="5" t="str">
        <f>IF(Tabela1[[#This Row],[Caixa]]="Receita","Recebido",IF(G161="","",IF(H161="","",IF(H161&gt;G161,"Pago atrasado",IF(H161&lt;=G161,"Pago","Aguardando")))))</f>
        <v/>
      </c>
    </row>
    <row r="162" spans="1:10" ht="21" customHeight="1" x14ac:dyDescent="0.2">
      <c r="A162" s="28"/>
      <c r="B162" s="29"/>
      <c r="C162" s="29"/>
      <c r="D162" s="48" t="str">
        <f>IFERROR(VLOOKUP(Tabela1[[#This Row],[Tag]],TAGS!$J$1:$K$9,2,0),"")</f>
        <v/>
      </c>
      <c r="E162" s="29"/>
      <c r="F162" s="30"/>
      <c r="G162" s="31"/>
      <c r="H162" s="31"/>
      <c r="I162" s="4" t="str">
        <f t="shared" si="6"/>
        <v/>
      </c>
      <c r="J162" s="5" t="str">
        <f>IF(Tabela1[[#This Row],[Caixa]]="Receita","Recebido",IF(G162="","",IF(H162="","",IF(H162&gt;G162,"Pago atrasado",IF(H162&lt;=G162,"Pago","Aguardando")))))</f>
        <v/>
      </c>
    </row>
    <row r="163" spans="1:10" ht="21" customHeight="1" x14ac:dyDescent="0.2">
      <c r="A163" s="28"/>
      <c r="B163" s="29"/>
      <c r="C163" s="29"/>
      <c r="D163" s="48" t="str">
        <f>IFERROR(VLOOKUP(Tabela1[[#This Row],[Tag]],TAGS!$J$1:$K$9,2,0),"")</f>
        <v/>
      </c>
      <c r="E163" s="29"/>
      <c r="F163" s="30"/>
      <c r="G163" s="31"/>
      <c r="H163" s="31"/>
      <c r="I163" s="4" t="str">
        <f t="shared" si="6"/>
        <v/>
      </c>
      <c r="J163" s="5" t="str">
        <f>IF(Tabela1[[#This Row],[Caixa]]="Receita","Recebido",IF(G163="","",IF(H163="","",IF(H163&gt;G163,"Pago atrasado",IF(H163&lt;=G163,"Pago","Aguardando")))))</f>
        <v/>
      </c>
    </row>
    <row r="164" spans="1:10" ht="21" customHeight="1" x14ac:dyDescent="0.2">
      <c r="A164" s="28"/>
      <c r="B164" s="29"/>
      <c r="C164" s="29"/>
      <c r="D164" s="48" t="str">
        <f>IFERROR(VLOOKUP(Tabela1[[#This Row],[Tag]],TAGS!$J$1:$K$9,2,0),"")</f>
        <v/>
      </c>
      <c r="E164" s="29"/>
      <c r="F164" s="30"/>
      <c r="G164" s="31"/>
      <c r="H164" s="31"/>
      <c r="I164" s="4" t="str">
        <f t="shared" si="6"/>
        <v/>
      </c>
      <c r="J164" s="5" t="str">
        <f>IF(Tabela1[[#This Row],[Caixa]]="Receita","Recebido",IF(G164="","",IF(H164="","",IF(H164&gt;G164,"Pago atrasado",IF(H164&lt;=G164,"Pago","Aguardando")))))</f>
        <v/>
      </c>
    </row>
    <row r="165" spans="1:10" ht="21" customHeight="1" x14ac:dyDescent="0.2">
      <c r="A165" s="28"/>
      <c r="B165" s="29"/>
      <c r="C165" s="29"/>
      <c r="D165" s="48" t="str">
        <f>IFERROR(VLOOKUP(Tabela1[[#This Row],[Tag]],TAGS!$J$1:$K$9,2,0),"")</f>
        <v/>
      </c>
      <c r="E165" s="29"/>
      <c r="F165" s="30"/>
      <c r="G165" s="31"/>
      <c r="H165" s="31"/>
      <c r="I165" s="4" t="str">
        <f t="shared" si="6"/>
        <v/>
      </c>
      <c r="J165" s="5" t="str">
        <f>IF(Tabela1[[#This Row],[Caixa]]="Receita","Recebido",IF(G165="","",IF(H165="","",IF(H165&gt;G165,"Pago atrasado",IF(H165&lt;=G165,"Pago","Aguardando")))))</f>
        <v/>
      </c>
    </row>
    <row r="166" spans="1:10" ht="21" customHeight="1" x14ac:dyDescent="0.2">
      <c r="A166" s="28"/>
      <c r="B166" s="29"/>
      <c r="C166" s="29"/>
      <c r="D166" s="48" t="str">
        <f>IFERROR(VLOOKUP(Tabela1[[#This Row],[Tag]],TAGS!$J$1:$K$9,2,0),"")</f>
        <v/>
      </c>
      <c r="E166" s="29"/>
      <c r="F166" s="30"/>
      <c r="G166" s="31"/>
      <c r="H166" s="31"/>
      <c r="I166" s="4" t="str">
        <f t="shared" si="6"/>
        <v/>
      </c>
      <c r="J166" s="5" t="str">
        <f>IF(Tabela1[[#This Row],[Caixa]]="Receita","Recebido",IF(G166="","",IF(H166="","",IF(H166&gt;G166,"Pago atrasado",IF(H166&lt;=G166,"Pago","Aguardando")))))</f>
        <v/>
      </c>
    </row>
    <row r="167" spans="1:10" ht="21" customHeight="1" x14ac:dyDescent="0.2">
      <c r="A167" s="28"/>
      <c r="B167" s="29"/>
      <c r="C167" s="29"/>
      <c r="D167" s="48" t="str">
        <f>IFERROR(VLOOKUP(Tabela1[[#This Row],[Tag]],TAGS!$J$1:$K$9,2,0),"")</f>
        <v/>
      </c>
      <c r="E167" s="29"/>
      <c r="F167" s="30"/>
      <c r="G167" s="31"/>
      <c r="H167" s="31"/>
      <c r="I167" s="4" t="str">
        <f t="shared" si="6"/>
        <v/>
      </c>
      <c r="J167" s="5" t="str">
        <f>IF(Tabela1[[#This Row],[Caixa]]="Receita","Recebido",IF(G167="","",IF(H167="","",IF(H167&gt;G167,"Pago atrasado",IF(H167&lt;=G167,"Pago","Aguardando")))))</f>
        <v/>
      </c>
    </row>
    <row r="168" spans="1:10" ht="21" customHeight="1" x14ac:dyDescent="0.2">
      <c r="A168" s="28"/>
      <c r="B168" s="29"/>
      <c r="C168" s="29"/>
      <c r="D168" s="48" t="str">
        <f>IFERROR(VLOOKUP(Tabela1[[#This Row],[Tag]],TAGS!$J$1:$K$9,2,0),"")</f>
        <v/>
      </c>
      <c r="E168" s="29"/>
      <c r="F168" s="30"/>
      <c r="G168" s="31"/>
      <c r="H168" s="31"/>
      <c r="I168" s="4" t="str">
        <f t="shared" si="6"/>
        <v/>
      </c>
      <c r="J168" s="5" t="str">
        <f>IF(Tabela1[[#This Row],[Caixa]]="Receita","Recebido",IF(G168="","",IF(H168="","",IF(H168&gt;G168,"Pago atrasado",IF(H168&lt;=G168,"Pago","Aguardando")))))</f>
        <v/>
      </c>
    </row>
    <row r="169" spans="1:10" ht="21" customHeight="1" x14ac:dyDescent="0.2">
      <c r="A169" s="28"/>
      <c r="B169" s="29"/>
      <c r="C169" s="29"/>
      <c r="D169" s="48" t="str">
        <f>IFERROR(VLOOKUP(Tabela1[[#This Row],[Tag]],TAGS!$J$1:$K$9,2,0),"")</f>
        <v/>
      </c>
      <c r="E169" s="29"/>
      <c r="F169" s="30"/>
      <c r="G169" s="31"/>
      <c r="H169" s="31"/>
      <c r="I169" s="4" t="str">
        <f t="shared" si="6"/>
        <v/>
      </c>
      <c r="J169" s="5" t="str">
        <f>IF(Tabela1[[#This Row],[Caixa]]="Receita","Recebido",IF(G169="","",IF(H169="","",IF(H169&gt;G169,"Pago atrasado",IF(H169&lt;=G169,"Pago","Aguardando")))))</f>
        <v/>
      </c>
    </row>
    <row r="170" spans="1:10" ht="21" customHeight="1" x14ac:dyDescent="0.2">
      <c r="A170" s="28"/>
      <c r="B170" s="29"/>
      <c r="C170" s="29"/>
      <c r="D170" s="48" t="str">
        <f>IFERROR(VLOOKUP(Tabela1[[#This Row],[Tag]],TAGS!$J$1:$K$9,2,0),"")</f>
        <v/>
      </c>
      <c r="E170" s="29"/>
      <c r="F170" s="30"/>
      <c r="G170" s="31"/>
      <c r="H170" s="31"/>
      <c r="I170" s="4" t="str">
        <f t="shared" si="6"/>
        <v/>
      </c>
      <c r="J170" s="5" t="str">
        <f>IF(Tabela1[[#This Row],[Caixa]]="Receita","Recebido",IF(G170="","",IF(H170="","",IF(H170&gt;G170,"Pago atrasado",IF(H170&lt;=G170,"Pago","Aguardando")))))</f>
        <v/>
      </c>
    </row>
    <row r="171" spans="1:10" ht="21" customHeight="1" x14ac:dyDescent="0.2">
      <c r="A171" s="28"/>
      <c r="B171" s="29"/>
      <c r="C171" s="29"/>
      <c r="D171" s="48" t="str">
        <f>IFERROR(VLOOKUP(Tabela1[[#This Row],[Tag]],TAGS!$J$1:$K$9,2,0),"")</f>
        <v/>
      </c>
      <c r="E171" s="29"/>
      <c r="F171" s="30"/>
      <c r="G171" s="31"/>
      <c r="H171" s="31"/>
      <c r="I171" s="4" t="str">
        <f t="shared" si="6"/>
        <v/>
      </c>
      <c r="J171" s="5" t="str">
        <f>IF(Tabela1[[#This Row],[Caixa]]="Receita","Recebido",IF(G171="","",IF(H171="","",IF(H171&gt;G171,"Pago atrasado",IF(H171&lt;=G171,"Pago","Aguardando")))))</f>
        <v/>
      </c>
    </row>
    <row r="172" spans="1:10" ht="21" customHeight="1" x14ac:dyDescent="0.2">
      <c r="A172" s="28"/>
      <c r="B172" s="29"/>
      <c r="C172" s="29"/>
      <c r="D172" s="48" t="str">
        <f>IFERROR(VLOOKUP(Tabela1[[#This Row],[Tag]],TAGS!$J$1:$K$9,2,0),"")</f>
        <v/>
      </c>
      <c r="E172" s="29"/>
      <c r="F172" s="30"/>
      <c r="G172" s="31"/>
      <c r="H172" s="31"/>
      <c r="I172" s="4" t="str">
        <f t="shared" si="6"/>
        <v/>
      </c>
      <c r="J172" s="5" t="str">
        <f>IF(Tabela1[[#This Row],[Caixa]]="Receita","Recebido",IF(G172="","",IF(H172="","",IF(H172&gt;G172,"Pago atrasado",IF(H172&lt;=G172,"Pago","Aguardando")))))</f>
        <v/>
      </c>
    </row>
    <row r="173" spans="1:10" ht="21" customHeight="1" x14ac:dyDescent="0.2">
      <c r="A173" s="28"/>
      <c r="B173" s="29"/>
      <c r="C173" s="29"/>
      <c r="D173" s="48" t="str">
        <f>IFERROR(VLOOKUP(Tabela1[[#This Row],[Tag]],TAGS!$J$1:$K$9,2,0),"")</f>
        <v/>
      </c>
      <c r="E173" s="29"/>
      <c r="F173" s="30"/>
      <c r="G173" s="31"/>
      <c r="H173" s="31"/>
      <c r="I173" s="4" t="str">
        <f t="shared" si="6"/>
        <v/>
      </c>
      <c r="J173" s="5" t="str">
        <f>IF(Tabela1[[#This Row],[Caixa]]="Receita","Recebido",IF(G173="","",IF(H173="","",IF(H173&gt;G173,"Pago atrasado",IF(H173&lt;=G173,"Pago","Aguardando")))))</f>
        <v/>
      </c>
    </row>
    <row r="174" spans="1:10" ht="21" customHeight="1" x14ac:dyDescent="0.2">
      <c r="A174" s="28"/>
      <c r="B174" s="29"/>
      <c r="C174" s="29"/>
      <c r="D174" s="48" t="str">
        <f>IFERROR(VLOOKUP(Tabela1[[#This Row],[Tag]],TAGS!$J$1:$K$9,2,0),"")</f>
        <v/>
      </c>
      <c r="E174" s="29"/>
      <c r="F174" s="30"/>
      <c r="G174" s="31"/>
      <c r="H174" s="31"/>
      <c r="I174" s="4" t="str">
        <f t="shared" si="6"/>
        <v/>
      </c>
      <c r="J174" s="5" t="str">
        <f>IF(Tabela1[[#This Row],[Caixa]]="Receita","Recebido",IF(G174="","",IF(H174="","",IF(H174&gt;G174,"Pago atrasado",IF(H174&lt;=G174,"Pago","Aguardando")))))</f>
        <v/>
      </c>
    </row>
    <row r="175" spans="1:10" ht="21" customHeight="1" x14ac:dyDescent="0.2">
      <c r="A175" s="28"/>
      <c r="B175" s="29"/>
      <c r="C175" s="29"/>
      <c r="D175" s="48" t="str">
        <f>IFERROR(VLOOKUP(Tabela1[[#This Row],[Tag]],TAGS!$J$1:$K$9,2,0),"")</f>
        <v/>
      </c>
      <c r="E175" s="29"/>
      <c r="F175" s="30"/>
      <c r="G175" s="31"/>
      <c r="H175" s="31"/>
      <c r="I175" s="4" t="str">
        <f t="shared" si="6"/>
        <v/>
      </c>
      <c r="J175" s="5" t="str">
        <f>IF(Tabela1[[#This Row],[Caixa]]="Receita","Recebido",IF(G175="","",IF(H175="","",IF(H175&gt;G175,"Pago atrasado",IF(H175&lt;=G175,"Pago","Aguardando")))))</f>
        <v/>
      </c>
    </row>
    <row r="176" spans="1:10" ht="21" customHeight="1" x14ac:dyDescent="0.2">
      <c r="A176" s="28"/>
      <c r="B176" s="29"/>
      <c r="C176" s="29"/>
      <c r="D176" s="48" t="str">
        <f>IFERROR(VLOOKUP(Tabela1[[#This Row],[Tag]],TAGS!$J$1:$K$9,2,0),"")</f>
        <v/>
      </c>
      <c r="E176" s="29"/>
      <c r="F176" s="30"/>
      <c r="G176" s="31"/>
      <c r="H176" s="31"/>
      <c r="I176" s="4" t="str">
        <f t="shared" si="6"/>
        <v/>
      </c>
      <c r="J176" s="5" t="str">
        <f>IF(Tabela1[[#This Row],[Caixa]]="Receita","Recebido",IF(G176="","",IF(H176="","",IF(H176&gt;G176,"Pago atrasado",IF(H176&lt;=G176,"Pago","Aguardando")))))</f>
        <v/>
      </c>
    </row>
    <row r="177" spans="1:10" ht="21" customHeight="1" x14ac:dyDescent="0.2">
      <c r="A177" s="28"/>
      <c r="B177" s="29"/>
      <c r="C177" s="29"/>
      <c r="D177" s="48" t="str">
        <f>IFERROR(VLOOKUP(Tabela1[[#This Row],[Tag]],TAGS!$J$1:$K$9,2,0),"")</f>
        <v/>
      </c>
      <c r="E177" s="29"/>
      <c r="F177" s="30"/>
      <c r="G177" s="31"/>
      <c r="H177" s="31"/>
      <c r="I177" s="4" t="str">
        <f t="shared" ref="I177:I240" si="7">IF(G177="","",TEXT(G177,"mmmm"))</f>
        <v/>
      </c>
      <c r="J177" s="5" t="str">
        <f>IF(Tabela1[[#This Row],[Caixa]]="Receita","Recebido",IF(G177="","",IF(H177="","",IF(H177&gt;G177,"Pago atrasado",IF(H177&lt;=G177,"Pago","Aguardando")))))</f>
        <v/>
      </c>
    </row>
    <row r="178" spans="1:10" ht="21" customHeight="1" x14ac:dyDescent="0.2">
      <c r="A178" s="28"/>
      <c r="B178" s="29"/>
      <c r="C178" s="29"/>
      <c r="D178" s="48" t="str">
        <f>IFERROR(VLOOKUP(Tabela1[[#This Row],[Tag]],TAGS!$J$1:$K$9,2,0),"")</f>
        <v/>
      </c>
      <c r="E178" s="29"/>
      <c r="F178" s="30"/>
      <c r="G178" s="31"/>
      <c r="H178" s="31"/>
      <c r="I178" s="4" t="str">
        <f t="shared" si="7"/>
        <v/>
      </c>
      <c r="J178" s="5" t="str">
        <f>IF(Tabela1[[#This Row],[Caixa]]="Receita","Recebido",IF(G178="","",IF(H178="","",IF(H178&gt;G178,"Pago atrasado",IF(H178&lt;=G178,"Pago","Aguardando")))))</f>
        <v/>
      </c>
    </row>
    <row r="179" spans="1:10" ht="21" customHeight="1" x14ac:dyDescent="0.2">
      <c r="A179" s="28"/>
      <c r="B179" s="29"/>
      <c r="C179" s="29"/>
      <c r="D179" s="48" t="str">
        <f>IFERROR(VLOOKUP(Tabela1[[#This Row],[Tag]],TAGS!$J$1:$K$9,2,0),"")</f>
        <v/>
      </c>
      <c r="E179" s="29"/>
      <c r="F179" s="30"/>
      <c r="G179" s="31"/>
      <c r="H179" s="31"/>
      <c r="I179" s="4" t="str">
        <f t="shared" si="7"/>
        <v/>
      </c>
      <c r="J179" s="5" t="str">
        <f>IF(Tabela1[[#This Row],[Caixa]]="Receita","Recebido",IF(G179="","",IF(H179="","",IF(H179&gt;G179,"Pago atrasado",IF(H179&lt;=G179,"Pago","Aguardando")))))</f>
        <v/>
      </c>
    </row>
    <row r="180" spans="1:10" ht="21" customHeight="1" x14ac:dyDescent="0.2">
      <c r="A180" s="28"/>
      <c r="B180" s="29"/>
      <c r="C180" s="29"/>
      <c r="D180" s="48" t="str">
        <f>IFERROR(VLOOKUP(Tabela1[[#This Row],[Tag]],TAGS!$J$1:$K$9,2,0),"")</f>
        <v/>
      </c>
      <c r="E180" s="29"/>
      <c r="F180" s="30"/>
      <c r="G180" s="31"/>
      <c r="H180" s="31"/>
      <c r="I180" s="4" t="str">
        <f t="shared" si="7"/>
        <v/>
      </c>
      <c r="J180" s="5" t="str">
        <f>IF(Tabela1[[#This Row],[Caixa]]="Receita","Recebido",IF(G180="","",IF(H180="","",IF(H180&gt;G180,"Pago atrasado",IF(H180&lt;=G180,"Pago","Aguardando")))))</f>
        <v/>
      </c>
    </row>
    <row r="181" spans="1:10" ht="21" customHeight="1" x14ac:dyDescent="0.2">
      <c r="A181" s="28"/>
      <c r="B181" s="29"/>
      <c r="C181" s="29"/>
      <c r="D181" s="48" t="str">
        <f>IFERROR(VLOOKUP(Tabela1[[#This Row],[Tag]],TAGS!$J$1:$K$9,2,0),"")</f>
        <v/>
      </c>
      <c r="E181" s="29"/>
      <c r="F181" s="30"/>
      <c r="G181" s="31"/>
      <c r="H181" s="31"/>
      <c r="I181" s="4" t="str">
        <f t="shared" si="7"/>
        <v/>
      </c>
      <c r="J181" s="5" t="str">
        <f>IF(Tabela1[[#This Row],[Caixa]]="Receita","Recebido",IF(G181="","",IF(H181="","",IF(H181&gt;G181,"Pago atrasado",IF(H181&lt;=G181,"Pago","Aguardando")))))</f>
        <v/>
      </c>
    </row>
    <row r="182" spans="1:10" ht="21" customHeight="1" x14ac:dyDescent="0.2">
      <c r="A182" s="28"/>
      <c r="B182" s="29"/>
      <c r="C182" s="29"/>
      <c r="D182" s="48" t="str">
        <f>IFERROR(VLOOKUP(Tabela1[[#This Row],[Tag]],TAGS!$J$1:$K$9,2,0),"")</f>
        <v/>
      </c>
      <c r="E182" s="29"/>
      <c r="F182" s="30"/>
      <c r="G182" s="31"/>
      <c r="H182" s="31"/>
      <c r="I182" s="4" t="str">
        <f t="shared" si="7"/>
        <v/>
      </c>
      <c r="J182" s="5" t="str">
        <f>IF(Tabela1[[#This Row],[Caixa]]="Receita","Recebido",IF(G182="","",IF(H182="","",IF(H182&gt;G182,"Pago atrasado",IF(H182&lt;=G182,"Pago","Aguardando")))))</f>
        <v/>
      </c>
    </row>
    <row r="183" spans="1:10" ht="21" customHeight="1" x14ac:dyDescent="0.2">
      <c r="A183" s="28"/>
      <c r="B183" s="29"/>
      <c r="C183" s="29"/>
      <c r="D183" s="48" t="str">
        <f>IFERROR(VLOOKUP(Tabela1[[#This Row],[Tag]],TAGS!$J$1:$K$9,2,0),"")</f>
        <v/>
      </c>
      <c r="E183" s="29"/>
      <c r="F183" s="30"/>
      <c r="G183" s="31"/>
      <c r="H183" s="31"/>
      <c r="I183" s="4" t="str">
        <f t="shared" si="7"/>
        <v/>
      </c>
      <c r="J183" s="5" t="str">
        <f>IF(Tabela1[[#This Row],[Caixa]]="Receita","Recebido",IF(G183="","",IF(H183="","",IF(H183&gt;G183,"Pago atrasado",IF(H183&lt;=G183,"Pago","Aguardando")))))</f>
        <v/>
      </c>
    </row>
    <row r="184" spans="1:10" ht="21" customHeight="1" x14ac:dyDescent="0.2">
      <c r="A184" s="28"/>
      <c r="B184" s="29"/>
      <c r="C184" s="29"/>
      <c r="D184" s="48" t="str">
        <f>IFERROR(VLOOKUP(Tabela1[[#This Row],[Tag]],TAGS!$J$1:$K$9,2,0),"")</f>
        <v/>
      </c>
      <c r="E184" s="29"/>
      <c r="F184" s="30"/>
      <c r="G184" s="31"/>
      <c r="H184" s="31"/>
      <c r="I184" s="4" t="str">
        <f t="shared" si="7"/>
        <v/>
      </c>
      <c r="J184" s="5" t="str">
        <f>IF(Tabela1[[#This Row],[Caixa]]="Receita","Recebido",IF(G184="","",IF(H184="","",IF(H184&gt;G184,"Pago atrasado",IF(H184&lt;=G184,"Pago","Aguardando")))))</f>
        <v/>
      </c>
    </row>
    <row r="185" spans="1:10" ht="21" customHeight="1" x14ac:dyDescent="0.2">
      <c r="A185" s="28"/>
      <c r="B185" s="29"/>
      <c r="C185" s="29"/>
      <c r="D185" s="48" t="str">
        <f>IFERROR(VLOOKUP(Tabela1[[#This Row],[Tag]],TAGS!$J$1:$K$9,2,0),"")</f>
        <v/>
      </c>
      <c r="E185" s="29"/>
      <c r="F185" s="30"/>
      <c r="G185" s="31"/>
      <c r="H185" s="31"/>
      <c r="I185" s="4" t="str">
        <f t="shared" si="7"/>
        <v/>
      </c>
      <c r="J185" s="5" t="str">
        <f>IF(Tabela1[[#This Row],[Caixa]]="Receita","Recebido",IF(G185="","",IF(H185="","",IF(H185&gt;G185,"Pago atrasado",IF(H185&lt;=G185,"Pago","Aguardando")))))</f>
        <v/>
      </c>
    </row>
    <row r="186" spans="1:10" ht="21" customHeight="1" x14ac:dyDescent="0.2">
      <c r="A186" s="28"/>
      <c r="B186" s="29"/>
      <c r="C186" s="29"/>
      <c r="D186" s="48" t="str">
        <f>IFERROR(VLOOKUP(Tabela1[[#This Row],[Tag]],TAGS!$J$1:$K$9,2,0),"")</f>
        <v/>
      </c>
      <c r="E186" s="29"/>
      <c r="F186" s="30"/>
      <c r="G186" s="31"/>
      <c r="H186" s="31"/>
      <c r="I186" s="4" t="str">
        <f t="shared" si="7"/>
        <v/>
      </c>
      <c r="J186" s="5" t="str">
        <f>IF(Tabela1[[#This Row],[Caixa]]="Receita","Recebido",IF(G186="","",IF(H186="","",IF(H186&gt;G186,"Pago atrasado",IF(H186&lt;=G186,"Pago","Aguardando")))))</f>
        <v/>
      </c>
    </row>
    <row r="187" spans="1:10" ht="21" customHeight="1" x14ac:dyDescent="0.2">
      <c r="A187" s="28"/>
      <c r="B187" s="29"/>
      <c r="C187" s="29"/>
      <c r="D187" s="48" t="str">
        <f>IFERROR(VLOOKUP(Tabela1[[#This Row],[Tag]],TAGS!$J$1:$K$9,2,0),"")</f>
        <v/>
      </c>
      <c r="E187" s="29"/>
      <c r="F187" s="30"/>
      <c r="G187" s="31"/>
      <c r="H187" s="31"/>
      <c r="I187" s="4" t="str">
        <f t="shared" si="7"/>
        <v/>
      </c>
      <c r="J187" s="5" t="str">
        <f>IF(Tabela1[[#This Row],[Caixa]]="Receita","Recebido",IF(G187="","",IF(H187="","",IF(H187&gt;G187,"Pago atrasado",IF(H187&lt;=G187,"Pago","Aguardando")))))</f>
        <v/>
      </c>
    </row>
    <row r="188" spans="1:10" ht="21" customHeight="1" x14ac:dyDescent="0.2">
      <c r="A188" s="28"/>
      <c r="B188" s="29"/>
      <c r="C188" s="29"/>
      <c r="D188" s="48" t="str">
        <f>IFERROR(VLOOKUP(Tabela1[[#This Row],[Tag]],TAGS!$J$1:$K$9,2,0),"")</f>
        <v/>
      </c>
      <c r="E188" s="29"/>
      <c r="F188" s="30"/>
      <c r="G188" s="31"/>
      <c r="H188" s="31"/>
      <c r="I188" s="4" t="str">
        <f t="shared" si="7"/>
        <v/>
      </c>
      <c r="J188" s="5" t="str">
        <f>IF(Tabela1[[#This Row],[Caixa]]="Receita","Recebido",IF(G188="","",IF(H188="","",IF(H188&gt;G188,"Pago atrasado",IF(H188&lt;=G188,"Pago","Aguardando")))))</f>
        <v/>
      </c>
    </row>
    <row r="189" spans="1:10" ht="21" customHeight="1" x14ac:dyDescent="0.2">
      <c r="A189" s="28"/>
      <c r="B189" s="29"/>
      <c r="C189" s="29"/>
      <c r="D189" s="48" t="str">
        <f>IFERROR(VLOOKUP(Tabela1[[#This Row],[Tag]],TAGS!$J$1:$K$9,2,0),"")</f>
        <v/>
      </c>
      <c r="E189" s="29"/>
      <c r="F189" s="30"/>
      <c r="G189" s="31"/>
      <c r="H189" s="31"/>
      <c r="I189" s="4" t="str">
        <f t="shared" si="7"/>
        <v/>
      </c>
      <c r="J189" s="5" t="str">
        <f>IF(Tabela1[[#This Row],[Caixa]]="Receita","Recebido",IF(G189="","",IF(H189="","",IF(H189&gt;G189,"Pago atrasado",IF(H189&lt;=G189,"Pago","Aguardando")))))</f>
        <v/>
      </c>
    </row>
    <row r="190" spans="1:10" ht="21" customHeight="1" x14ac:dyDescent="0.2">
      <c r="A190" s="28"/>
      <c r="B190" s="29"/>
      <c r="C190" s="29"/>
      <c r="D190" s="48" t="str">
        <f>IFERROR(VLOOKUP(Tabela1[[#This Row],[Tag]],TAGS!$J$1:$K$9,2,0),"")</f>
        <v/>
      </c>
      <c r="E190" s="29"/>
      <c r="F190" s="30"/>
      <c r="G190" s="31"/>
      <c r="H190" s="31"/>
      <c r="I190" s="4" t="str">
        <f t="shared" si="7"/>
        <v/>
      </c>
      <c r="J190" s="5" t="str">
        <f>IF(Tabela1[[#This Row],[Caixa]]="Receita","Recebido",IF(G190="","",IF(H190="","",IF(H190&gt;G190,"Pago atrasado",IF(H190&lt;=G190,"Pago","Aguardando")))))</f>
        <v/>
      </c>
    </row>
    <row r="191" spans="1:10" ht="21" customHeight="1" x14ac:dyDescent="0.2">
      <c r="A191" s="28"/>
      <c r="B191" s="29"/>
      <c r="C191" s="29"/>
      <c r="D191" s="48" t="str">
        <f>IFERROR(VLOOKUP(Tabela1[[#This Row],[Tag]],TAGS!$J$1:$K$9,2,0),"")</f>
        <v/>
      </c>
      <c r="E191" s="29"/>
      <c r="F191" s="30"/>
      <c r="G191" s="31"/>
      <c r="H191" s="31"/>
      <c r="I191" s="4" t="str">
        <f t="shared" si="7"/>
        <v/>
      </c>
      <c r="J191" s="5" t="str">
        <f>IF(Tabela1[[#This Row],[Caixa]]="Receita","Recebido",IF(G191="","",IF(H191="","",IF(H191&gt;G191,"Pago atrasado",IF(H191&lt;=G191,"Pago","Aguardando")))))</f>
        <v/>
      </c>
    </row>
    <row r="192" spans="1:10" ht="21" customHeight="1" x14ac:dyDescent="0.2">
      <c r="A192" s="28"/>
      <c r="B192" s="29"/>
      <c r="C192" s="29"/>
      <c r="D192" s="48" t="str">
        <f>IFERROR(VLOOKUP(Tabela1[[#This Row],[Tag]],TAGS!$J$1:$K$9,2,0),"")</f>
        <v/>
      </c>
      <c r="E192" s="29"/>
      <c r="F192" s="30"/>
      <c r="G192" s="31"/>
      <c r="H192" s="31"/>
      <c r="I192" s="4" t="str">
        <f t="shared" si="7"/>
        <v/>
      </c>
      <c r="J192" s="5" t="str">
        <f>IF(Tabela1[[#This Row],[Caixa]]="Receita","Recebido",IF(G192="","",IF(H192="","",IF(H192&gt;G192,"Pago atrasado",IF(H192&lt;=G192,"Pago","Aguardando")))))</f>
        <v/>
      </c>
    </row>
    <row r="193" spans="1:10" ht="21" customHeight="1" x14ac:dyDescent="0.2">
      <c r="A193" s="28"/>
      <c r="B193" s="29"/>
      <c r="C193" s="29"/>
      <c r="D193" s="48" t="str">
        <f>IFERROR(VLOOKUP(Tabela1[[#This Row],[Tag]],TAGS!$J$1:$K$9,2,0),"")</f>
        <v/>
      </c>
      <c r="E193" s="29"/>
      <c r="F193" s="30"/>
      <c r="G193" s="31"/>
      <c r="H193" s="31"/>
      <c r="I193" s="4" t="str">
        <f t="shared" si="7"/>
        <v/>
      </c>
      <c r="J193" s="5" t="str">
        <f>IF(Tabela1[[#This Row],[Caixa]]="Receita","Recebido",IF(G193="","",IF(H193="","",IF(H193&gt;G193,"Pago atrasado",IF(H193&lt;=G193,"Pago","Aguardando")))))</f>
        <v/>
      </c>
    </row>
    <row r="194" spans="1:10" ht="21" customHeight="1" x14ac:dyDescent="0.2">
      <c r="A194" s="28"/>
      <c r="B194" s="29"/>
      <c r="C194" s="29"/>
      <c r="D194" s="48" t="str">
        <f>IFERROR(VLOOKUP(Tabela1[[#This Row],[Tag]],TAGS!$J$1:$K$9,2,0),"")</f>
        <v/>
      </c>
      <c r="E194" s="29"/>
      <c r="F194" s="30"/>
      <c r="G194" s="31"/>
      <c r="H194" s="31"/>
      <c r="I194" s="4" t="str">
        <f t="shared" si="7"/>
        <v/>
      </c>
      <c r="J194" s="5" t="str">
        <f>IF(Tabela1[[#This Row],[Caixa]]="Receita","Recebido",IF(G194="","",IF(H194="","",IF(H194&gt;G194,"Pago atrasado",IF(H194&lt;=G194,"Pago","Aguardando")))))</f>
        <v/>
      </c>
    </row>
    <row r="195" spans="1:10" ht="21" customHeight="1" x14ac:dyDescent="0.2">
      <c r="A195" s="28"/>
      <c r="B195" s="29"/>
      <c r="C195" s="29"/>
      <c r="D195" s="48" t="str">
        <f>IFERROR(VLOOKUP(Tabela1[[#This Row],[Tag]],TAGS!$J$1:$K$9,2,0),"")</f>
        <v/>
      </c>
      <c r="E195" s="29"/>
      <c r="F195" s="30"/>
      <c r="G195" s="31"/>
      <c r="H195" s="31"/>
      <c r="I195" s="4" t="str">
        <f t="shared" si="7"/>
        <v/>
      </c>
      <c r="J195" s="5" t="str">
        <f>IF(Tabela1[[#This Row],[Caixa]]="Receita","Recebido",IF(G195="","",IF(H195="","",IF(H195&gt;G195,"Pago atrasado",IF(H195&lt;=G195,"Pago","Aguardando")))))</f>
        <v/>
      </c>
    </row>
    <row r="196" spans="1:10" ht="21" customHeight="1" x14ac:dyDescent="0.2">
      <c r="A196" s="28"/>
      <c r="B196" s="29"/>
      <c r="C196" s="29"/>
      <c r="D196" s="48" t="str">
        <f>IFERROR(VLOOKUP(Tabela1[[#This Row],[Tag]],TAGS!$J$1:$K$9,2,0),"")</f>
        <v/>
      </c>
      <c r="E196" s="29"/>
      <c r="F196" s="30"/>
      <c r="G196" s="31"/>
      <c r="H196" s="31"/>
      <c r="I196" s="4" t="str">
        <f t="shared" si="7"/>
        <v/>
      </c>
      <c r="J196" s="5" t="str">
        <f>IF(Tabela1[[#This Row],[Caixa]]="Receita","Recebido",IF(G196="","",IF(H196="","",IF(H196&gt;G196,"Pago atrasado",IF(H196&lt;=G196,"Pago","Aguardando")))))</f>
        <v/>
      </c>
    </row>
    <row r="197" spans="1:10" ht="21" customHeight="1" x14ac:dyDescent="0.2">
      <c r="A197" s="28"/>
      <c r="B197" s="29"/>
      <c r="C197" s="29"/>
      <c r="D197" s="48" t="str">
        <f>IFERROR(VLOOKUP(Tabela1[[#This Row],[Tag]],TAGS!$J$1:$K$9,2,0),"")</f>
        <v/>
      </c>
      <c r="E197" s="29"/>
      <c r="F197" s="30"/>
      <c r="G197" s="31"/>
      <c r="H197" s="31"/>
      <c r="I197" s="4" t="str">
        <f t="shared" si="7"/>
        <v/>
      </c>
      <c r="J197" s="5" t="str">
        <f>IF(Tabela1[[#This Row],[Caixa]]="Receita","Recebido",IF(G197="","",IF(H197="","",IF(H197&gt;G197,"Pago atrasado",IF(H197&lt;=G197,"Pago","Aguardando")))))</f>
        <v/>
      </c>
    </row>
    <row r="198" spans="1:10" ht="21" customHeight="1" x14ac:dyDescent="0.2">
      <c r="A198" s="28"/>
      <c r="B198" s="29"/>
      <c r="C198" s="29"/>
      <c r="D198" s="48" t="str">
        <f>IFERROR(VLOOKUP(Tabela1[[#This Row],[Tag]],TAGS!$J$1:$K$9,2,0),"")</f>
        <v/>
      </c>
      <c r="E198" s="29"/>
      <c r="F198" s="30"/>
      <c r="G198" s="31"/>
      <c r="H198" s="31"/>
      <c r="I198" s="4" t="str">
        <f t="shared" si="7"/>
        <v/>
      </c>
      <c r="J198" s="5" t="str">
        <f>IF(Tabela1[[#This Row],[Caixa]]="Receita","Recebido",IF(G198="","",IF(H198="","",IF(H198&gt;G198,"Pago atrasado",IF(H198&lt;=G198,"Pago","Aguardando")))))</f>
        <v/>
      </c>
    </row>
    <row r="199" spans="1:10" ht="21" customHeight="1" x14ac:dyDescent="0.2">
      <c r="A199" s="28"/>
      <c r="B199" s="29"/>
      <c r="C199" s="29"/>
      <c r="D199" s="48" t="str">
        <f>IFERROR(VLOOKUP(Tabela1[[#This Row],[Tag]],TAGS!$J$1:$K$9,2,0),"")</f>
        <v/>
      </c>
      <c r="E199" s="29"/>
      <c r="F199" s="30"/>
      <c r="G199" s="31"/>
      <c r="H199" s="31"/>
      <c r="I199" s="4" t="str">
        <f t="shared" si="7"/>
        <v/>
      </c>
      <c r="J199" s="5" t="str">
        <f>IF(Tabela1[[#This Row],[Caixa]]="Receita","Recebido",IF(G199="","",IF(H199="","",IF(H199&gt;G199,"Pago atrasado",IF(H199&lt;=G199,"Pago","Aguardando")))))</f>
        <v/>
      </c>
    </row>
    <row r="200" spans="1:10" ht="21" customHeight="1" x14ac:dyDescent="0.2">
      <c r="A200" s="28"/>
      <c r="B200" s="29"/>
      <c r="C200" s="29"/>
      <c r="D200" s="48" t="str">
        <f>IFERROR(VLOOKUP(Tabela1[[#This Row],[Tag]],TAGS!$J$1:$K$9,2,0),"")</f>
        <v/>
      </c>
      <c r="E200" s="29"/>
      <c r="F200" s="30"/>
      <c r="G200" s="31"/>
      <c r="H200" s="31"/>
      <c r="I200" s="4" t="str">
        <f t="shared" si="7"/>
        <v/>
      </c>
      <c r="J200" s="5" t="str">
        <f>IF(Tabela1[[#This Row],[Caixa]]="Receita","Recebido",IF(G200="","",IF(H200="","",IF(H200&gt;G200,"Pago atrasado",IF(H200&lt;=G200,"Pago","Aguardando")))))</f>
        <v/>
      </c>
    </row>
    <row r="201" spans="1:10" ht="21" customHeight="1" x14ac:dyDescent="0.2">
      <c r="A201" s="28"/>
      <c r="B201" s="29"/>
      <c r="C201" s="29"/>
      <c r="D201" s="48" t="str">
        <f>IFERROR(VLOOKUP(Tabela1[[#This Row],[Tag]],TAGS!$J$1:$K$9,2,0),"")</f>
        <v/>
      </c>
      <c r="E201" s="29"/>
      <c r="F201" s="30"/>
      <c r="G201" s="31"/>
      <c r="H201" s="31"/>
      <c r="I201" s="4" t="str">
        <f t="shared" si="7"/>
        <v/>
      </c>
      <c r="J201" s="5" t="str">
        <f>IF(Tabela1[[#This Row],[Caixa]]="Receita","Recebido",IF(G201="","",IF(H201="","",IF(H201&gt;G201,"Pago atrasado",IF(H201&lt;=G201,"Pago","Aguardando")))))</f>
        <v/>
      </c>
    </row>
    <row r="202" spans="1:10" ht="21" customHeight="1" x14ac:dyDescent="0.2">
      <c r="A202" s="28"/>
      <c r="B202" s="29"/>
      <c r="C202" s="29"/>
      <c r="D202" s="48" t="str">
        <f>IFERROR(VLOOKUP(Tabela1[[#This Row],[Tag]],TAGS!$J$1:$K$9,2,0),"")</f>
        <v/>
      </c>
      <c r="E202" s="29"/>
      <c r="F202" s="30"/>
      <c r="G202" s="31"/>
      <c r="H202" s="31"/>
      <c r="I202" s="4" t="str">
        <f t="shared" si="7"/>
        <v/>
      </c>
      <c r="J202" s="5" t="str">
        <f>IF(Tabela1[[#This Row],[Caixa]]="Receita","Recebido",IF(G202="","",IF(H202="","",IF(H202&gt;G202,"Pago atrasado",IF(H202&lt;=G202,"Pago","Aguardando")))))</f>
        <v/>
      </c>
    </row>
    <row r="203" spans="1:10" ht="21" customHeight="1" x14ac:dyDescent="0.2">
      <c r="A203" s="28"/>
      <c r="B203" s="29"/>
      <c r="C203" s="29"/>
      <c r="D203" s="48" t="str">
        <f>IFERROR(VLOOKUP(Tabela1[[#This Row],[Tag]],TAGS!$J$1:$K$9,2,0),"")</f>
        <v/>
      </c>
      <c r="E203" s="29"/>
      <c r="F203" s="30"/>
      <c r="G203" s="31"/>
      <c r="H203" s="31"/>
      <c r="I203" s="4" t="str">
        <f t="shared" si="7"/>
        <v/>
      </c>
      <c r="J203" s="5" t="str">
        <f>IF(Tabela1[[#This Row],[Caixa]]="Receita","Recebido",IF(G203="","",IF(H203="","",IF(H203&gt;G203,"Pago atrasado",IF(H203&lt;=G203,"Pago","Aguardando")))))</f>
        <v/>
      </c>
    </row>
    <row r="204" spans="1:10" ht="21" customHeight="1" x14ac:dyDescent="0.2">
      <c r="A204" s="28"/>
      <c r="B204" s="29"/>
      <c r="C204" s="29"/>
      <c r="D204" s="48" t="str">
        <f>IFERROR(VLOOKUP(Tabela1[[#This Row],[Tag]],TAGS!$J$1:$K$9,2,0),"")</f>
        <v/>
      </c>
      <c r="E204" s="29"/>
      <c r="F204" s="30"/>
      <c r="G204" s="31"/>
      <c r="H204" s="31"/>
      <c r="I204" s="4" t="str">
        <f t="shared" si="7"/>
        <v/>
      </c>
      <c r="J204" s="5" t="str">
        <f>IF(Tabela1[[#This Row],[Caixa]]="Receita","Recebido",IF(G204="","",IF(H204="","",IF(H204&gt;G204,"Pago atrasado",IF(H204&lt;=G204,"Pago","Aguardando")))))</f>
        <v/>
      </c>
    </row>
    <row r="205" spans="1:10" ht="21" customHeight="1" x14ac:dyDescent="0.2">
      <c r="A205" s="28"/>
      <c r="B205" s="29"/>
      <c r="C205" s="29"/>
      <c r="D205" s="48" t="str">
        <f>IFERROR(VLOOKUP(Tabela1[[#This Row],[Tag]],TAGS!$J$1:$K$9,2,0),"")</f>
        <v/>
      </c>
      <c r="E205" s="29"/>
      <c r="F205" s="30"/>
      <c r="G205" s="31"/>
      <c r="H205" s="31"/>
      <c r="I205" s="4" t="str">
        <f t="shared" si="7"/>
        <v/>
      </c>
      <c r="J205" s="5" t="str">
        <f>IF(Tabela1[[#This Row],[Caixa]]="Receita","Recebido",IF(G205="","",IF(H205="","",IF(H205&gt;G205,"Pago atrasado",IF(H205&lt;=G205,"Pago","Aguardando")))))</f>
        <v/>
      </c>
    </row>
    <row r="206" spans="1:10" ht="21" customHeight="1" x14ac:dyDescent="0.2">
      <c r="A206" s="28"/>
      <c r="B206" s="29"/>
      <c r="C206" s="29"/>
      <c r="D206" s="48" t="str">
        <f>IFERROR(VLOOKUP(Tabela1[[#This Row],[Tag]],TAGS!$J$1:$K$9,2,0),"")</f>
        <v/>
      </c>
      <c r="E206" s="29"/>
      <c r="F206" s="30"/>
      <c r="G206" s="31"/>
      <c r="H206" s="31"/>
      <c r="I206" s="4" t="str">
        <f t="shared" si="7"/>
        <v/>
      </c>
      <c r="J206" s="5" t="str">
        <f>IF(Tabela1[[#This Row],[Caixa]]="Receita","Recebido",IF(G206="","",IF(H206="","",IF(H206&gt;G206,"Pago atrasado",IF(H206&lt;=G206,"Pago","Aguardando")))))</f>
        <v/>
      </c>
    </row>
    <row r="207" spans="1:10" ht="21" customHeight="1" x14ac:dyDescent="0.2">
      <c r="A207" s="28"/>
      <c r="B207" s="29"/>
      <c r="C207" s="29"/>
      <c r="D207" s="48" t="str">
        <f>IFERROR(VLOOKUP(Tabela1[[#This Row],[Tag]],TAGS!$J$1:$K$9,2,0),"")</f>
        <v/>
      </c>
      <c r="E207" s="29"/>
      <c r="F207" s="30"/>
      <c r="G207" s="31"/>
      <c r="H207" s="31"/>
      <c r="I207" s="4" t="str">
        <f t="shared" si="7"/>
        <v/>
      </c>
      <c r="J207" s="5" t="str">
        <f>IF(Tabela1[[#This Row],[Caixa]]="Receita","Recebido",IF(G207="","",IF(H207="","",IF(H207&gt;G207,"Pago atrasado",IF(H207&lt;=G207,"Pago","Aguardando")))))</f>
        <v/>
      </c>
    </row>
    <row r="208" spans="1:10" ht="21" customHeight="1" x14ac:dyDescent="0.2">
      <c r="A208" s="28"/>
      <c r="B208" s="29"/>
      <c r="C208" s="29"/>
      <c r="D208" s="48" t="str">
        <f>IFERROR(VLOOKUP(Tabela1[[#This Row],[Tag]],TAGS!$J$1:$K$9,2,0),"")</f>
        <v/>
      </c>
      <c r="E208" s="29"/>
      <c r="F208" s="30"/>
      <c r="G208" s="31"/>
      <c r="H208" s="31"/>
      <c r="I208" s="4" t="str">
        <f t="shared" si="7"/>
        <v/>
      </c>
      <c r="J208" s="5" t="str">
        <f>IF(Tabela1[[#This Row],[Caixa]]="Receita","Recebido",IF(G208="","",IF(H208="","",IF(H208&gt;G208,"Pago atrasado",IF(H208&lt;=G208,"Pago","Aguardando")))))</f>
        <v/>
      </c>
    </row>
    <row r="209" spans="1:10" ht="21" customHeight="1" x14ac:dyDescent="0.2">
      <c r="A209" s="28"/>
      <c r="B209" s="29"/>
      <c r="C209" s="29"/>
      <c r="D209" s="48" t="str">
        <f>IFERROR(VLOOKUP(Tabela1[[#This Row],[Tag]],TAGS!$J$1:$K$9,2,0),"")</f>
        <v/>
      </c>
      <c r="E209" s="29"/>
      <c r="F209" s="30"/>
      <c r="G209" s="31"/>
      <c r="H209" s="31"/>
      <c r="I209" s="4" t="str">
        <f t="shared" si="7"/>
        <v/>
      </c>
      <c r="J209" s="5" t="str">
        <f>IF(Tabela1[[#This Row],[Caixa]]="Receita","Recebido",IF(G209="","",IF(H209="","",IF(H209&gt;G209,"Pago atrasado",IF(H209&lt;=G209,"Pago","Aguardando")))))</f>
        <v/>
      </c>
    </row>
    <row r="210" spans="1:10" ht="21" customHeight="1" x14ac:dyDescent="0.2">
      <c r="A210" s="28"/>
      <c r="B210" s="29"/>
      <c r="C210" s="29"/>
      <c r="D210" s="48" t="str">
        <f>IFERROR(VLOOKUP(Tabela1[[#This Row],[Tag]],TAGS!$J$1:$K$9,2,0),"")</f>
        <v/>
      </c>
      <c r="E210" s="29"/>
      <c r="F210" s="30"/>
      <c r="G210" s="31"/>
      <c r="H210" s="31"/>
      <c r="I210" s="4" t="str">
        <f t="shared" si="7"/>
        <v/>
      </c>
      <c r="J210" s="5" t="str">
        <f>IF(Tabela1[[#This Row],[Caixa]]="Receita","Recebido",IF(G210="","",IF(H210="","",IF(H210&gt;G210,"Pago atrasado",IF(H210&lt;=G210,"Pago","Aguardando")))))</f>
        <v/>
      </c>
    </row>
    <row r="211" spans="1:10" ht="21" customHeight="1" x14ac:dyDescent="0.2">
      <c r="A211" s="28"/>
      <c r="B211" s="29"/>
      <c r="C211" s="29"/>
      <c r="D211" s="48" t="str">
        <f>IFERROR(VLOOKUP(Tabela1[[#This Row],[Tag]],TAGS!$J$1:$K$9,2,0),"")</f>
        <v/>
      </c>
      <c r="E211" s="29"/>
      <c r="F211" s="30"/>
      <c r="G211" s="31"/>
      <c r="H211" s="31"/>
      <c r="I211" s="4" t="str">
        <f t="shared" si="7"/>
        <v/>
      </c>
      <c r="J211" s="5" t="str">
        <f>IF(Tabela1[[#This Row],[Caixa]]="Receita","Recebido",IF(G211="","",IF(H211="","",IF(H211&gt;G211,"Pago atrasado",IF(H211&lt;=G211,"Pago","Aguardando")))))</f>
        <v/>
      </c>
    </row>
    <row r="212" spans="1:10" ht="21" customHeight="1" x14ac:dyDescent="0.2">
      <c r="A212" s="28"/>
      <c r="B212" s="29"/>
      <c r="C212" s="29"/>
      <c r="D212" s="48" t="str">
        <f>IFERROR(VLOOKUP(Tabela1[[#This Row],[Tag]],TAGS!$J$1:$K$9,2,0),"")</f>
        <v/>
      </c>
      <c r="E212" s="29"/>
      <c r="F212" s="30"/>
      <c r="G212" s="31"/>
      <c r="H212" s="31"/>
      <c r="I212" s="4" t="str">
        <f t="shared" si="7"/>
        <v/>
      </c>
      <c r="J212" s="5" t="str">
        <f>IF(Tabela1[[#This Row],[Caixa]]="Receita","Recebido",IF(G212="","",IF(H212="","",IF(H212&gt;G212,"Pago atrasado",IF(H212&lt;=G212,"Pago","Aguardando")))))</f>
        <v/>
      </c>
    </row>
    <row r="213" spans="1:10" ht="21" customHeight="1" x14ac:dyDescent="0.2">
      <c r="A213" s="28"/>
      <c r="B213" s="29"/>
      <c r="C213" s="29"/>
      <c r="D213" s="48" t="str">
        <f>IFERROR(VLOOKUP(Tabela1[[#This Row],[Tag]],TAGS!$J$1:$K$9,2,0),"")</f>
        <v/>
      </c>
      <c r="E213" s="29"/>
      <c r="F213" s="30"/>
      <c r="G213" s="31"/>
      <c r="H213" s="31"/>
      <c r="I213" s="4" t="str">
        <f t="shared" si="7"/>
        <v/>
      </c>
      <c r="J213" s="5" t="str">
        <f>IF(Tabela1[[#This Row],[Caixa]]="Receita","Recebido",IF(G213="","",IF(H213="","",IF(H213&gt;G213,"Pago atrasado",IF(H213&lt;=G213,"Pago","Aguardando")))))</f>
        <v/>
      </c>
    </row>
    <row r="214" spans="1:10" ht="21" customHeight="1" x14ac:dyDescent="0.2">
      <c r="A214" s="28"/>
      <c r="B214" s="29"/>
      <c r="C214" s="29"/>
      <c r="D214" s="48" t="str">
        <f>IFERROR(VLOOKUP(Tabela1[[#This Row],[Tag]],TAGS!$J$1:$K$9,2,0),"")</f>
        <v/>
      </c>
      <c r="E214" s="29"/>
      <c r="F214" s="30"/>
      <c r="G214" s="31"/>
      <c r="H214" s="31"/>
      <c r="I214" s="4" t="str">
        <f t="shared" si="7"/>
        <v/>
      </c>
      <c r="J214" s="5" t="str">
        <f>IF(Tabela1[[#This Row],[Caixa]]="Receita","Recebido",IF(G214="","",IF(H214="","",IF(H214&gt;G214,"Pago atrasado",IF(H214&lt;=G214,"Pago","Aguardando")))))</f>
        <v/>
      </c>
    </row>
    <row r="215" spans="1:10" ht="21" customHeight="1" x14ac:dyDescent="0.2">
      <c r="A215" s="28"/>
      <c r="B215" s="29"/>
      <c r="C215" s="29"/>
      <c r="D215" s="48" t="str">
        <f>IFERROR(VLOOKUP(Tabela1[[#This Row],[Tag]],TAGS!$J$1:$K$9,2,0),"")</f>
        <v/>
      </c>
      <c r="E215" s="29"/>
      <c r="F215" s="30"/>
      <c r="G215" s="31"/>
      <c r="H215" s="31"/>
      <c r="I215" s="4" t="str">
        <f t="shared" si="7"/>
        <v/>
      </c>
      <c r="J215" s="5" t="str">
        <f>IF(Tabela1[[#This Row],[Caixa]]="Receita","Recebido",IF(G215="","",IF(H215="","",IF(H215&gt;G215,"Pago atrasado",IF(H215&lt;=G215,"Pago","Aguardando")))))</f>
        <v/>
      </c>
    </row>
    <row r="216" spans="1:10" ht="21" customHeight="1" x14ac:dyDescent="0.2">
      <c r="A216" s="28"/>
      <c r="B216" s="29"/>
      <c r="C216" s="29"/>
      <c r="D216" s="48" t="str">
        <f>IFERROR(VLOOKUP(Tabela1[[#This Row],[Tag]],TAGS!$J$1:$K$9,2,0),"")</f>
        <v/>
      </c>
      <c r="E216" s="29"/>
      <c r="F216" s="30"/>
      <c r="G216" s="31"/>
      <c r="H216" s="31"/>
      <c r="I216" s="4" t="str">
        <f t="shared" si="7"/>
        <v/>
      </c>
      <c r="J216" s="5" t="str">
        <f>IF(Tabela1[[#This Row],[Caixa]]="Receita","Recebido",IF(G216="","",IF(H216="","",IF(H216&gt;G216,"Pago atrasado",IF(H216&lt;=G216,"Pago","Aguardando")))))</f>
        <v/>
      </c>
    </row>
    <row r="217" spans="1:10" ht="21" customHeight="1" x14ac:dyDescent="0.2">
      <c r="A217" s="28"/>
      <c r="B217" s="29"/>
      <c r="C217" s="29"/>
      <c r="D217" s="48" t="str">
        <f>IFERROR(VLOOKUP(Tabela1[[#This Row],[Tag]],TAGS!$J$1:$K$9,2,0),"")</f>
        <v/>
      </c>
      <c r="E217" s="29"/>
      <c r="F217" s="30"/>
      <c r="G217" s="31"/>
      <c r="H217" s="31"/>
      <c r="I217" s="4" t="str">
        <f t="shared" si="7"/>
        <v/>
      </c>
      <c r="J217" s="5" t="str">
        <f>IF(Tabela1[[#This Row],[Caixa]]="Receita","Recebido",IF(G217="","",IF(H217="","",IF(H217&gt;G217,"Pago atrasado",IF(H217&lt;=G217,"Pago","Aguardando")))))</f>
        <v/>
      </c>
    </row>
    <row r="218" spans="1:10" ht="21" customHeight="1" x14ac:dyDescent="0.2">
      <c r="A218" s="28"/>
      <c r="B218" s="29"/>
      <c r="C218" s="29"/>
      <c r="D218" s="48" t="str">
        <f>IFERROR(VLOOKUP(Tabela1[[#This Row],[Tag]],TAGS!$J$1:$K$9,2,0),"")</f>
        <v/>
      </c>
      <c r="E218" s="29"/>
      <c r="F218" s="30"/>
      <c r="G218" s="31"/>
      <c r="H218" s="31"/>
      <c r="I218" s="4" t="str">
        <f t="shared" si="7"/>
        <v/>
      </c>
      <c r="J218" s="5" t="str">
        <f>IF(Tabela1[[#This Row],[Caixa]]="Receita","Recebido",IF(G218="","",IF(H218="","",IF(H218&gt;G218,"Pago atrasado",IF(H218&lt;=G218,"Pago","Aguardando")))))</f>
        <v/>
      </c>
    </row>
    <row r="219" spans="1:10" ht="21" customHeight="1" x14ac:dyDescent="0.2">
      <c r="A219" s="28"/>
      <c r="B219" s="29"/>
      <c r="C219" s="29"/>
      <c r="D219" s="48" t="str">
        <f>IFERROR(VLOOKUP(Tabela1[[#This Row],[Tag]],TAGS!$J$1:$K$9,2,0),"")</f>
        <v/>
      </c>
      <c r="E219" s="29"/>
      <c r="F219" s="30"/>
      <c r="G219" s="31"/>
      <c r="H219" s="31"/>
      <c r="I219" s="4" t="str">
        <f t="shared" si="7"/>
        <v/>
      </c>
      <c r="J219" s="5" t="str">
        <f>IF(Tabela1[[#This Row],[Caixa]]="Receita","Recebido",IF(G219="","",IF(H219="","",IF(H219&gt;G219,"Pago atrasado",IF(H219&lt;=G219,"Pago","Aguardando")))))</f>
        <v/>
      </c>
    </row>
    <row r="220" spans="1:10" ht="21" customHeight="1" x14ac:dyDescent="0.2">
      <c r="A220" s="28"/>
      <c r="B220" s="29"/>
      <c r="C220" s="29"/>
      <c r="D220" s="48" t="str">
        <f>IFERROR(VLOOKUP(Tabela1[[#This Row],[Tag]],TAGS!$J$1:$K$9,2,0),"")</f>
        <v/>
      </c>
      <c r="E220" s="29"/>
      <c r="F220" s="30"/>
      <c r="G220" s="31"/>
      <c r="H220" s="31"/>
      <c r="I220" s="4" t="str">
        <f t="shared" si="7"/>
        <v/>
      </c>
      <c r="J220" s="5" t="str">
        <f>IF(Tabela1[[#This Row],[Caixa]]="Receita","Recebido",IF(G220="","",IF(H220="","",IF(H220&gt;G220,"Pago atrasado",IF(H220&lt;=G220,"Pago","Aguardando")))))</f>
        <v/>
      </c>
    </row>
    <row r="221" spans="1:10" ht="21" customHeight="1" x14ac:dyDescent="0.2">
      <c r="A221" s="28"/>
      <c r="B221" s="29"/>
      <c r="C221" s="29"/>
      <c r="D221" s="48" t="str">
        <f>IFERROR(VLOOKUP(Tabela1[[#This Row],[Tag]],TAGS!$J$1:$K$9,2,0),"")</f>
        <v/>
      </c>
      <c r="E221" s="29"/>
      <c r="F221" s="30"/>
      <c r="G221" s="31"/>
      <c r="H221" s="31"/>
      <c r="I221" s="4" t="str">
        <f t="shared" si="7"/>
        <v/>
      </c>
      <c r="J221" s="5" t="str">
        <f>IF(Tabela1[[#This Row],[Caixa]]="Receita","Recebido",IF(G221="","",IF(H221="","",IF(H221&gt;G221,"Pago atrasado",IF(H221&lt;=G221,"Pago","Aguardando")))))</f>
        <v/>
      </c>
    </row>
    <row r="222" spans="1:10" ht="21" customHeight="1" x14ac:dyDescent="0.2">
      <c r="A222" s="28"/>
      <c r="B222" s="29"/>
      <c r="C222" s="29"/>
      <c r="D222" s="48" t="str">
        <f>IFERROR(VLOOKUP(Tabela1[[#This Row],[Tag]],TAGS!$J$1:$K$9,2,0),"")</f>
        <v/>
      </c>
      <c r="E222" s="29"/>
      <c r="F222" s="30"/>
      <c r="G222" s="31"/>
      <c r="H222" s="31"/>
      <c r="I222" s="4" t="str">
        <f t="shared" si="7"/>
        <v/>
      </c>
      <c r="J222" s="5" t="str">
        <f>IF(Tabela1[[#This Row],[Caixa]]="Receita","Recebido",IF(G222="","",IF(H222="","",IF(H222&gt;G222,"Pago atrasado",IF(H222&lt;=G222,"Pago","Aguardando")))))</f>
        <v/>
      </c>
    </row>
    <row r="223" spans="1:10" ht="21" customHeight="1" x14ac:dyDescent="0.2">
      <c r="A223" s="28"/>
      <c r="B223" s="29"/>
      <c r="C223" s="29"/>
      <c r="D223" s="48" t="str">
        <f>IFERROR(VLOOKUP(Tabela1[[#This Row],[Tag]],TAGS!$J$1:$K$9,2,0),"")</f>
        <v/>
      </c>
      <c r="E223" s="29"/>
      <c r="F223" s="30"/>
      <c r="G223" s="31"/>
      <c r="H223" s="31"/>
      <c r="I223" s="4" t="str">
        <f t="shared" si="7"/>
        <v/>
      </c>
      <c r="J223" s="5" t="str">
        <f>IF(Tabela1[[#This Row],[Caixa]]="Receita","Recebido",IF(G223="","",IF(H223="","",IF(H223&gt;G223,"Pago atrasado",IF(H223&lt;=G223,"Pago","Aguardando")))))</f>
        <v/>
      </c>
    </row>
    <row r="224" spans="1:10" ht="21" customHeight="1" x14ac:dyDescent="0.2">
      <c r="A224" s="28"/>
      <c r="B224" s="29"/>
      <c r="C224" s="29"/>
      <c r="D224" s="48" t="str">
        <f>IFERROR(VLOOKUP(Tabela1[[#This Row],[Tag]],TAGS!$J$1:$K$9,2,0),"")</f>
        <v/>
      </c>
      <c r="E224" s="29"/>
      <c r="F224" s="30"/>
      <c r="G224" s="31"/>
      <c r="H224" s="31"/>
      <c r="I224" s="4" t="str">
        <f t="shared" si="7"/>
        <v/>
      </c>
      <c r="J224" s="5" t="str">
        <f>IF(Tabela1[[#This Row],[Caixa]]="Receita","Recebido",IF(G224="","",IF(H224="","",IF(H224&gt;G224,"Pago atrasado",IF(H224&lt;=G224,"Pago","Aguardando")))))</f>
        <v/>
      </c>
    </row>
    <row r="225" spans="1:10" ht="21" customHeight="1" x14ac:dyDescent="0.2">
      <c r="A225" s="28"/>
      <c r="B225" s="29"/>
      <c r="C225" s="29"/>
      <c r="D225" s="48" t="str">
        <f>IFERROR(VLOOKUP(Tabela1[[#This Row],[Tag]],TAGS!$J$1:$K$9,2,0),"")</f>
        <v/>
      </c>
      <c r="E225" s="29"/>
      <c r="F225" s="30"/>
      <c r="G225" s="31"/>
      <c r="H225" s="31"/>
      <c r="I225" s="4" t="str">
        <f t="shared" si="7"/>
        <v/>
      </c>
      <c r="J225" s="5" t="str">
        <f>IF(Tabela1[[#This Row],[Caixa]]="Receita","Recebido",IF(G225="","",IF(H225="","",IF(H225&gt;G225,"Pago atrasado",IF(H225&lt;=G225,"Pago","Aguardando")))))</f>
        <v/>
      </c>
    </row>
    <row r="226" spans="1:10" ht="21" customHeight="1" x14ac:dyDescent="0.2">
      <c r="A226" s="28"/>
      <c r="B226" s="29"/>
      <c r="C226" s="29"/>
      <c r="D226" s="48" t="str">
        <f>IFERROR(VLOOKUP(Tabela1[[#This Row],[Tag]],TAGS!$J$1:$K$9,2,0),"")</f>
        <v/>
      </c>
      <c r="E226" s="29"/>
      <c r="F226" s="30"/>
      <c r="G226" s="31"/>
      <c r="H226" s="31"/>
      <c r="I226" s="4" t="str">
        <f t="shared" si="7"/>
        <v/>
      </c>
      <c r="J226" s="5" t="str">
        <f>IF(Tabela1[[#This Row],[Caixa]]="Receita","Recebido",IF(G226="","",IF(H226="","",IF(H226&gt;G226,"Pago atrasado",IF(H226&lt;=G226,"Pago","Aguardando")))))</f>
        <v/>
      </c>
    </row>
    <row r="227" spans="1:10" ht="21" customHeight="1" x14ac:dyDescent="0.2">
      <c r="A227" s="28"/>
      <c r="B227" s="29"/>
      <c r="C227" s="29"/>
      <c r="D227" s="48" t="str">
        <f>IFERROR(VLOOKUP(Tabela1[[#This Row],[Tag]],TAGS!$J$1:$K$9,2,0),"")</f>
        <v/>
      </c>
      <c r="E227" s="29"/>
      <c r="F227" s="30"/>
      <c r="G227" s="31"/>
      <c r="H227" s="31"/>
      <c r="I227" s="4" t="str">
        <f t="shared" si="7"/>
        <v/>
      </c>
      <c r="J227" s="5" t="str">
        <f>IF(Tabela1[[#This Row],[Caixa]]="Receita","Recebido",IF(G227="","",IF(H227="","",IF(H227&gt;G227,"Pago atrasado",IF(H227&lt;=G227,"Pago","Aguardando")))))</f>
        <v/>
      </c>
    </row>
    <row r="228" spans="1:10" ht="21" customHeight="1" x14ac:dyDescent="0.2">
      <c r="A228" s="28"/>
      <c r="B228" s="29"/>
      <c r="C228" s="29"/>
      <c r="D228" s="48" t="str">
        <f>IFERROR(VLOOKUP(Tabela1[[#This Row],[Tag]],TAGS!$J$1:$K$9,2,0),"")</f>
        <v/>
      </c>
      <c r="E228" s="29"/>
      <c r="F228" s="30"/>
      <c r="G228" s="31"/>
      <c r="H228" s="31"/>
      <c r="I228" s="4" t="str">
        <f t="shared" si="7"/>
        <v/>
      </c>
      <c r="J228" s="5" t="str">
        <f>IF(Tabela1[[#This Row],[Caixa]]="Receita","Recebido",IF(G228="","",IF(H228="","",IF(H228&gt;G228,"Pago atrasado",IF(H228&lt;=G228,"Pago","Aguardando")))))</f>
        <v/>
      </c>
    </row>
    <row r="229" spans="1:10" ht="21" customHeight="1" x14ac:dyDescent="0.2">
      <c r="A229" s="28"/>
      <c r="B229" s="29"/>
      <c r="C229" s="29"/>
      <c r="D229" s="48" t="str">
        <f>IFERROR(VLOOKUP(Tabela1[[#This Row],[Tag]],TAGS!$J$1:$K$9,2,0),"")</f>
        <v/>
      </c>
      <c r="E229" s="29"/>
      <c r="F229" s="30"/>
      <c r="G229" s="31"/>
      <c r="H229" s="31"/>
      <c r="I229" s="4" t="str">
        <f t="shared" si="7"/>
        <v/>
      </c>
      <c r="J229" s="5" t="str">
        <f>IF(Tabela1[[#This Row],[Caixa]]="Receita","Recebido",IF(G229="","",IF(H229="","",IF(H229&gt;G229,"Pago atrasado",IF(H229&lt;=G229,"Pago","Aguardando")))))</f>
        <v/>
      </c>
    </row>
    <row r="230" spans="1:10" ht="21" customHeight="1" x14ac:dyDescent="0.2">
      <c r="A230" s="28"/>
      <c r="B230" s="29"/>
      <c r="C230" s="29"/>
      <c r="D230" s="48" t="str">
        <f>IFERROR(VLOOKUP(Tabela1[[#This Row],[Tag]],TAGS!$J$1:$K$9,2,0),"")</f>
        <v/>
      </c>
      <c r="E230" s="29"/>
      <c r="F230" s="30"/>
      <c r="G230" s="31"/>
      <c r="H230" s="31"/>
      <c r="I230" s="4" t="str">
        <f t="shared" si="7"/>
        <v/>
      </c>
      <c r="J230" s="5" t="str">
        <f>IF(Tabela1[[#This Row],[Caixa]]="Receita","Recebido",IF(G230="","",IF(H230="","",IF(H230&gt;G230,"Pago atrasado",IF(H230&lt;=G230,"Pago","Aguardando")))))</f>
        <v/>
      </c>
    </row>
    <row r="231" spans="1:10" ht="21" customHeight="1" x14ac:dyDescent="0.2">
      <c r="A231" s="28"/>
      <c r="B231" s="29"/>
      <c r="C231" s="29"/>
      <c r="D231" s="48" t="str">
        <f>IFERROR(VLOOKUP(Tabela1[[#This Row],[Tag]],TAGS!$J$1:$K$9,2,0),"")</f>
        <v/>
      </c>
      <c r="E231" s="29"/>
      <c r="F231" s="30"/>
      <c r="G231" s="31"/>
      <c r="H231" s="31"/>
      <c r="I231" s="4" t="str">
        <f t="shared" si="7"/>
        <v/>
      </c>
      <c r="J231" s="5" t="str">
        <f>IF(Tabela1[[#This Row],[Caixa]]="Receita","Recebido",IF(G231="","",IF(H231="","",IF(H231&gt;G231,"Pago atrasado",IF(H231&lt;=G231,"Pago","Aguardando")))))</f>
        <v/>
      </c>
    </row>
    <row r="232" spans="1:10" ht="21" customHeight="1" x14ac:dyDescent="0.2">
      <c r="A232" s="28"/>
      <c r="B232" s="29"/>
      <c r="C232" s="29"/>
      <c r="D232" s="48" t="str">
        <f>IFERROR(VLOOKUP(Tabela1[[#This Row],[Tag]],TAGS!$J$1:$K$9,2,0),"")</f>
        <v/>
      </c>
      <c r="E232" s="29"/>
      <c r="F232" s="30"/>
      <c r="G232" s="31"/>
      <c r="H232" s="31"/>
      <c r="I232" s="4" t="str">
        <f t="shared" si="7"/>
        <v/>
      </c>
      <c r="J232" s="5" t="str">
        <f>IF(Tabela1[[#This Row],[Caixa]]="Receita","Recebido",IF(G232="","",IF(H232="","",IF(H232&gt;G232,"Pago atrasado",IF(H232&lt;=G232,"Pago","Aguardando")))))</f>
        <v/>
      </c>
    </row>
    <row r="233" spans="1:10" ht="21" customHeight="1" x14ac:dyDescent="0.2">
      <c r="A233" s="28"/>
      <c r="B233" s="29"/>
      <c r="C233" s="29"/>
      <c r="D233" s="48" t="str">
        <f>IFERROR(VLOOKUP(Tabela1[[#This Row],[Tag]],TAGS!$J$1:$K$9,2,0),"")</f>
        <v/>
      </c>
      <c r="E233" s="29"/>
      <c r="F233" s="30"/>
      <c r="G233" s="31"/>
      <c r="H233" s="31"/>
      <c r="I233" s="4" t="str">
        <f t="shared" si="7"/>
        <v/>
      </c>
      <c r="J233" s="5" t="str">
        <f>IF(Tabela1[[#This Row],[Caixa]]="Receita","Recebido",IF(G233="","",IF(H233="","",IF(H233&gt;G233,"Pago atrasado",IF(H233&lt;=G233,"Pago","Aguardando")))))</f>
        <v/>
      </c>
    </row>
    <row r="234" spans="1:10" ht="21" customHeight="1" x14ac:dyDescent="0.2">
      <c r="A234" s="28"/>
      <c r="B234" s="29"/>
      <c r="C234" s="29"/>
      <c r="D234" s="48" t="str">
        <f>IFERROR(VLOOKUP(Tabela1[[#This Row],[Tag]],TAGS!$J$1:$K$9,2,0),"")</f>
        <v/>
      </c>
      <c r="E234" s="29"/>
      <c r="F234" s="30"/>
      <c r="G234" s="31"/>
      <c r="H234" s="31"/>
      <c r="I234" s="4" t="str">
        <f t="shared" si="7"/>
        <v/>
      </c>
      <c r="J234" s="5" t="str">
        <f>IF(Tabela1[[#This Row],[Caixa]]="Receita","Recebido",IF(G234="","",IF(H234="","",IF(H234&gt;G234,"Pago atrasado",IF(H234&lt;=G234,"Pago","Aguardando")))))</f>
        <v/>
      </c>
    </row>
    <row r="235" spans="1:10" ht="21" customHeight="1" x14ac:dyDescent="0.2">
      <c r="A235" s="28"/>
      <c r="B235" s="29"/>
      <c r="C235" s="29"/>
      <c r="D235" s="48" t="str">
        <f>IFERROR(VLOOKUP(Tabela1[[#This Row],[Tag]],TAGS!$J$1:$K$9,2,0),"")</f>
        <v/>
      </c>
      <c r="E235" s="29"/>
      <c r="F235" s="30"/>
      <c r="G235" s="31"/>
      <c r="H235" s="31"/>
      <c r="I235" s="4" t="str">
        <f t="shared" si="7"/>
        <v/>
      </c>
      <c r="J235" s="5" t="str">
        <f>IF(Tabela1[[#This Row],[Caixa]]="Receita","Recebido",IF(G235="","",IF(H235="","",IF(H235&gt;G235,"Pago atrasado",IF(H235&lt;=G235,"Pago","Aguardando")))))</f>
        <v/>
      </c>
    </row>
    <row r="236" spans="1:10" ht="21" customHeight="1" x14ac:dyDescent="0.2">
      <c r="A236" s="28"/>
      <c r="B236" s="29"/>
      <c r="C236" s="29"/>
      <c r="D236" s="48" t="str">
        <f>IFERROR(VLOOKUP(Tabela1[[#This Row],[Tag]],TAGS!$J$1:$K$9,2,0),"")</f>
        <v/>
      </c>
      <c r="E236" s="29"/>
      <c r="F236" s="30"/>
      <c r="G236" s="31"/>
      <c r="H236" s="31"/>
      <c r="I236" s="4" t="str">
        <f t="shared" si="7"/>
        <v/>
      </c>
      <c r="J236" s="5" t="str">
        <f>IF(Tabela1[[#This Row],[Caixa]]="Receita","Recebido",IF(G236="","",IF(H236="","",IF(H236&gt;G236,"Pago atrasado",IF(H236&lt;=G236,"Pago","Aguardando")))))</f>
        <v/>
      </c>
    </row>
    <row r="237" spans="1:10" ht="21" customHeight="1" x14ac:dyDescent="0.2">
      <c r="A237" s="28"/>
      <c r="B237" s="29"/>
      <c r="C237" s="29"/>
      <c r="D237" s="48" t="str">
        <f>IFERROR(VLOOKUP(Tabela1[[#This Row],[Tag]],TAGS!$J$1:$K$9,2,0),"")</f>
        <v/>
      </c>
      <c r="E237" s="29"/>
      <c r="F237" s="30"/>
      <c r="G237" s="31"/>
      <c r="H237" s="31"/>
      <c r="I237" s="4" t="str">
        <f t="shared" si="7"/>
        <v/>
      </c>
      <c r="J237" s="5" t="str">
        <f>IF(Tabela1[[#This Row],[Caixa]]="Receita","Recebido",IF(G237="","",IF(H237="","",IF(H237&gt;G237,"Pago atrasado",IF(H237&lt;=G237,"Pago","Aguardando")))))</f>
        <v/>
      </c>
    </row>
    <row r="238" spans="1:10" ht="21" customHeight="1" x14ac:dyDescent="0.2">
      <c r="A238" s="28"/>
      <c r="B238" s="29"/>
      <c r="C238" s="29"/>
      <c r="D238" s="48" t="str">
        <f>IFERROR(VLOOKUP(Tabela1[[#This Row],[Tag]],TAGS!$J$1:$K$9,2,0),"")</f>
        <v/>
      </c>
      <c r="E238" s="29"/>
      <c r="F238" s="30"/>
      <c r="G238" s="31"/>
      <c r="H238" s="31"/>
      <c r="I238" s="4" t="str">
        <f t="shared" si="7"/>
        <v/>
      </c>
      <c r="J238" s="5" t="str">
        <f>IF(Tabela1[[#This Row],[Caixa]]="Receita","Recebido",IF(G238="","",IF(H238="","",IF(H238&gt;G238,"Pago atrasado",IF(H238&lt;=G238,"Pago","Aguardando")))))</f>
        <v/>
      </c>
    </row>
    <row r="239" spans="1:10" ht="21" customHeight="1" x14ac:dyDescent="0.2">
      <c r="A239" s="28"/>
      <c r="B239" s="29"/>
      <c r="C239" s="29"/>
      <c r="D239" s="48" t="str">
        <f>IFERROR(VLOOKUP(Tabela1[[#This Row],[Tag]],TAGS!$J$1:$K$9,2,0),"")</f>
        <v/>
      </c>
      <c r="E239" s="29"/>
      <c r="F239" s="30"/>
      <c r="G239" s="31"/>
      <c r="H239" s="31"/>
      <c r="I239" s="4" t="str">
        <f t="shared" si="7"/>
        <v/>
      </c>
      <c r="J239" s="5" t="str">
        <f>IF(Tabela1[[#This Row],[Caixa]]="Receita","Recebido",IF(G239="","",IF(H239="","",IF(H239&gt;G239,"Pago atrasado",IF(H239&lt;=G239,"Pago","Aguardando")))))</f>
        <v/>
      </c>
    </row>
    <row r="240" spans="1:10" ht="21" customHeight="1" x14ac:dyDescent="0.2">
      <c r="A240" s="28"/>
      <c r="B240" s="29"/>
      <c r="C240" s="29"/>
      <c r="D240" s="48" t="str">
        <f>IFERROR(VLOOKUP(Tabela1[[#This Row],[Tag]],TAGS!$J$1:$K$9,2,0),"")</f>
        <v/>
      </c>
      <c r="E240" s="29"/>
      <c r="F240" s="30"/>
      <c r="G240" s="31"/>
      <c r="H240" s="31"/>
      <c r="I240" s="4" t="str">
        <f t="shared" si="7"/>
        <v/>
      </c>
      <c r="J240" s="5" t="str">
        <f>IF(Tabela1[[#This Row],[Caixa]]="Receita","Recebido",IF(G240="","",IF(H240="","",IF(H240&gt;G240,"Pago atrasado",IF(H240&lt;=G240,"Pago","Aguardando")))))</f>
        <v/>
      </c>
    </row>
    <row r="241" spans="1:10" ht="21" customHeight="1" x14ac:dyDescent="0.2">
      <c r="A241" s="28"/>
      <c r="B241" s="29"/>
      <c r="C241" s="29"/>
      <c r="D241" s="48" t="str">
        <f>IFERROR(VLOOKUP(Tabela1[[#This Row],[Tag]],TAGS!$J$1:$K$9,2,0),"")</f>
        <v/>
      </c>
      <c r="E241" s="29"/>
      <c r="F241" s="30"/>
      <c r="G241" s="31"/>
      <c r="H241" s="31"/>
      <c r="I241" s="4" t="str">
        <f t="shared" ref="I241:I304" si="8">IF(G241="","",TEXT(G241,"mmmm"))</f>
        <v/>
      </c>
      <c r="J241" s="5" t="str">
        <f>IF(Tabela1[[#This Row],[Caixa]]="Receita","Recebido",IF(G241="","",IF(H241="","",IF(H241&gt;G241,"Pago atrasado",IF(H241&lt;=G241,"Pago","Aguardando")))))</f>
        <v/>
      </c>
    </row>
    <row r="242" spans="1:10" ht="21" customHeight="1" x14ac:dyDescent="0.2">
      <c r="A242" s="28"/>
      <c r="B242" s="29"/>
      <c r="C242" s="29"/>
      <c r="D242" s="48" t="str">
        <f>IFERROR(VLOOKUP(Tabela1[[#This Row],[Tag]],TAGS!$J$1:$K$9,2,0),"")</f>
        <v/>
      </c>
      <c r="E242" s="29"/>
      <c r="F242" s="30"/>
      <c r="G242" s="31"/>
      <c r="H242" s="31"/>
      <c r="I242" s="4" t="str">
        <f t="shared" si="8"/>
        <v/>
      </c>
      <c r="J242" s="5" t="str">
        <f>IF(Tabela1[[#This Row],[Caixa]]="Receita","Recebido",IF(G242="","",IF(H242="","",IF(H242&gt;G242,"Pago atrasado",IF(H242&lt;=G242,"Pago","Aguardando")))))</f>
        <v/>
      </c>
    </row>
    <row r="243" spans="1:10" ht="21" customHeight="1" x14ac:dyDescent="0.2">
      <c r="A243" s="28"/>
      <c r="B243" s="29"/>
      <c r="C243" s="29"/>
      <c r="D243" s="48" t="str">
        <f>IFERROR(VLOOKUP(Tabela1[[#This Row],[Tag]],TAGS!$J$1:$K$9,2,0),"")</f>
        <v/>
      </c>
      <c r="E243" s="29"/>
      <c r="F243" s="30"/>
      <c r="G243" s="31"/>
      <c r="H243" s="31"/>
      <c r="I243" s="4" t="str">
        <f t="shared" si="8"/>
        <v/>
      </c>
      <c r="J243" s="5" t="str">
        <f>IF(Tabela1[[#This Row],[Caixa]]="Receita","Recebido",IF(G243="","",IF(H243="","",IF(H243&gt;G243,"Pago atrasado",IF(H243&lt;=G243,"Pago","Aguardando")))))</f>
        <v/>
      </c>
    </row>
    <row r="244" spans="1:10" ht="21" customHeight="1" x14ac:dyDescent="0.2">
      <c r="A244" s="28"/>
      <c r="B244" s="29"/>
      <c r="C244" s="29"/>
      <c r="D244" s="48" t="str">
        <f>IFERROR(VLOOKUP(Tabela1[[#This Row],[Tag]],TAGS!$J$1:$K$9,2,0),"")</f>
        <v/>
      </c>
      <c r="E244" s="29"/>
      <c r="F244" s="30"/>
      <c r="G244" s="31"/>
      <c r="H244" s="31"/>
      <c r="I244" s="4" t="str">
        <f t="shared" si="8"/>
        <v/>
      </c>
      <c r="J244" s="5" t="str">
        <f>IF(Tabela1[[#This Row],[Caixa]]="Receita","Recebido",IF(G244="","",IF(H244="","",IF(H244&gt;G244,"Pago atrasado",IF(H244&lt;=G244,"Pago","Aguardando")))))</f>
        <v/>
      </c>
    </row>
    <row r="245" spans="1:10" ht="21" customHeight="1" x14ac:dyDescent="0.2">
      <c r="A245" s="28"/>
      <c r="B245" s="29"/>
      <c r="C245" s="29"/>
      <c r="D245" s="48" t="str">
        <f>IFERROR(VLOOKUP(Tabela1[[#This Row],[Tag]],TAGS!$J$1:$K$9,2,0),"")</f>
        <v/>
      </c>
      <c r="E245" s="29"/>
      <c r="F245" s="30"/>
      <c r="G245" s="31"/>
      <c r="H245" s="31"/>
      <c r="I245" s="4" t="str">
        <f t="shared" si="8"/>
        <v/>
      </c>
      <c r="J245" s="5" t="str">
        <f>IF(Tabela1[[#This Row],[Caixa]]="Receita","Recebido",IF(G245="","",IF(H245="","",IF(H245&gt;G245,"Pago atrasado",IF(H245&lt;=G245,"Pago","Aguardando")))))</f>
        <v/>
      </c>
    </row>
    <row r="246" spans="1:10" ht="21" customHeight="1" x14ac:dyDescent="0.2">
      <c r="A246" s="28"/>
      <c r="B246" s="29"/>
      <c r="C246" s="29"/>
      <c r="D246" s="48" t="str">
        <f>IFERROR(VLOOKUP(Tabela1[[#This Row],[Tag]],TAGS!$J$1:$K$9,2,0),"")</f>
        <v/>
      </c>
      <c r="E246" s="29"/>
      <c r="F246" s="30"/>
      <c r="G246" s="31"/>
      <c r="H246" s="31"/>
      <c r="I246" s="4" t="str">
        <f t="shared" si="8"/>
        <v/>
      </c>
      <c r="J246" s="5" t="str">
        <f>IF(Tabela1[[#This Row],[Caixa]]="Receita","Recebido",IF(G246="","",IF(H246="","",IF(H246&gt;G246,"Pago atrasado",IF(H246&lt;=G246,"Pago","Aguardando")))))</f>
        <v/>
      </c>
    </row>
    <row r="247" spans="1:10" ht="21" customHeight="1" x14ac:dyDescent="0.2">
      <c r="A247" s="28"/>
      <c r="B247" s="29"/>
      <c r="C247" s="29"/>
      <c r="D247" s="48" t="str">
        <f>IFERROR(VLOOKUP(Tabela1[[#This Row],[Tag]],TAGS!$J$1:$K$9,2,0),"")</f>
        <v/>
      </c>
      <c r="E247" s="29"/>
      <c r="F247" s="30"/>
      <c r="G247" s="31"/>
      <c r="H247" s="31"/>
      <c r="I247" s="4" t="str">
        <f t="shared" si="8"/>
        <v/>
      </c>
      <c r="J247" s="5" t="str">
        <f>IF(Tabela1[[#This Row],[Caixa]]="Receita","Recebido",IF(G247="","",IF(H247="","",IF(H247&gt;G247,"Pago atrasado",IF(H247&lt;=G247,"Pago","Aguardando")))))</f>
        <v/>
      </c>
    </row>
    <row r="248" spans="1:10" ht="21" customHeight="1" x14ac:dyDescent="0.2">
      <c r="A248" s="28"/>
      <c r="B248" s="29"/>
      <c r="C248" s="29"/>
      <c r="D248" s="48" t="str">
        <f>IFERROR(VLOOKUP(Tabela1[[#This Row],[Tag]],TAGS!$J$1:$K$9,2,0),"")</f>
        <v/>
      </c>
      <c r="E248" s="29"/>
      <c r="F248" s="30"/>
      <c r="G248" s="31"/>
      <c r="H248" s="31"/>
      <c r="I248" s="4" t="str">
        <f t="shared" si="8"/>
        <v/>
      </c>
      <c r="J248" s="5" t="str">
        <f>IF(Tabela1[[#This Row],[Caixa]]="Receita","Recebido",IF(G248="","",IF(H248="","",IF(H248&gt;G248,"Pago atrasado",IF(H248&lt;=G248,"Pago","Aguardando")))))</f>
        <v/>
      </c>
    </row>
    <row r="249" spans="1:10" ht="21" customHeight="1" x14ac:dyDescent="0.2">
      <c r="A249" s="28"/>
      <c r="B249" s="29"/>
      <c r="C249" s="29"/>
      <c r="D249" s="48" t="str">
        <f>IFERROR(VLOOKUP(Tabela1[[#This Row],[Tag]],TAGS!$J$1:$K$9,2,0),"")</f>
        <v/>
      </c>
      <c r="E249" s="29"/>
      <c r="F249" s="30"/>
      <c r="G249" s="31"/>
      <c r="H249" s="31"/>
      <c r="I249" s="4" t="str">
        <f t="shared" si="8"/>
        <v/>
      </c>
      <c r="J249" s="5" t="str">
        <f>IF(Tabela1[[#This Row],[Caixa]]="Receita","Recebido",IF(G249="","",IF(H249="","",IF(H249&gt;G249,"Pago atrasado",IF(H249&lt;=G249,"Pago","Aguardando")))))</f>
        <v/>
      </c>
    </row>
    <row r="250" spans="1:10" ht="21" customHeight="1" x14ac:dyDescent="0.2">
      <c r="A250" s="28"/>
      <c r="B250" s="29"/>
      <c r="C250" s="29"/>
      <c r="D250" s="48" t="str">
        <f>IFERROR(VLOOKUP(Tabela1[[#This Row],[Tag]],TAGS!$J$1:$K$9,2,0),"")</f>
        <v/>
      </c>
      <c r="E250" s="29"/>
      <c r="F250" s="30"/>
      <c r="G250" s="31"/>
      <c r="H250" s="31"/>
      <c r="I250" s="4" t="str">
        <f t="shared" si="8"/>
        <v/>
      </c>
      <c r="J250" s="5" t="str">
        <f>IF(Tabela1[[#This Row],[Caixa]]="Receita","Recebido",IF(G250="","",IF(H250="","",IF(H250&gt;G250,"Pago atrasado",IF(H250&lt;=G250,"Pago","Aguardando")))))</f>
        <v/>
      </c>
    </row>
    <row r="251" spans="1:10" ht="21" customHeight="1" x14ac:dyDescent="0.2">
      <c r="A251" s="28"/>
      <c r="B251" s="29"/>
      <c r="C251" s="29"/>
      <c r="D251" s="48" t="str">
        <f>IFERROR(VLOOKUP(Tabela1[[#This Row],[Tag]],TAGS!$J$1:$K$9,2,0),"")</f>
        <v/>
      </c>
      <c r="E251" s="29"/>
      <c r="F251" s="30"/>
      <c r="G251" s="31"/>
      <c r="H251" s="31"/>
      <c r="I251" s="4" t="str">
        <f t="shared" si="8"/>
        <v/>
      </c>
      <c r="J251" s="5" t="str">
        <f>IF(Tabela1[[#This Row],[Caixa]]="Receita","Recebido",IF(G251="","",IF(H251="","",IF(H251&gt;G251,"Pago atrasado",IF(H251&lt;=G251,"Pago","Aguardando")))))</f>
        <v/>
      </c>
    </row>
    <row r="252" spans="1:10" ht="21" customHeight="1" x14ac:dyDescent="0.2">
      <c r="A252" s="28"/>
      <c r="B252" s="29"/>
      <c r="C252" s="29"/>
      <c r="D252" s="48" t="str">
        <f>IFERROR(VLOOKUP(Tabela1[[#This Row],[Tag]],TAGS!$J$1:$K$9,2,0),"")</f>
        <v/>
      </c>
      <c r="E252" s="29"/>
      <c r="F252" s="30"/>
      <c r="G252" s="31"/>
      <c r="H252" s="31"/>
      <c r="I252" s="4" t="str">
        <f t="shared" si="8"/>
        <v/>
      </c>
      <c r="J252" s="5" t="str">
        <f>IF(Tabela1[[#This Row],[Caixa]]="Receita","Recebido",IF(G252="","",IF(H252="","",IF(H252&gt;G252,"Pago atrasado",IF(H252&lt;=G252,"Pago","Aguardando")))))</f>
        <v/>
      </c>
    </row>
    <row r="253" spans="1:10" ht="21" customHeight="1" x14ac:dyDescent="0.2">
      <c r="A253" s="28"/>
      <c r="B253" s="29"/>
      <c r="C253" s="29"/>
      <c r="D253" s="48" t="str">
        <f>IFERROR(VLOOKUP(Tabela1[[#This Row],[Tag]],TAGS!$J$1:$K$9,2,0),"")</f>
        <v/>
      </c>
      <c r="E253" s="29"/>
      <c r="F253" s="30"/>
      <c r="G253" s="31"/>
      <c r="H253" s="31"/>
      <c r="I253" s="4" t="str">
        <f t="shared" si="8"/>
        <v/>
      </c>
      <c r="J253" s="5" t="str">
        <f>IF(Tabela1[[#This Row],[Caixa]]="Receita","Recebido",IF(G253="","",IF(H253="","",IF(H253&gt;G253,"Pago atrasado",IF(H253&lt;=G253,"Pago","Aguardando")))))</f>
        <v/>
      </c>
    </row>
    <row r="254" spans="1:10" ht="21" customHeight="1" x14ac:dyDescent="0.2">
      <c r="A254" s="28"/>
      <c r="B254" s="29"/>
      <c r="C254" s="29"/>
      <c r="D254" s="48" t="str">
        <f>IFERROR(VLOOKUP(Tabela1[[#This Row],[Tag]],TAGS!$J$1:$K$9,2,0),"")</f>
        <v/>
      </c>
      <c r="E254" s="29"/>
      <c r="F254" s="30"/>
      <c r="G254" s="31"/>
      <c r="H254" s="31"/>
      <c r="I254" s="4" t="str">
        <f t="shared" si="8"/>
        <v/>
      </c>
      <c r="J254" s="5" t="str">
        <f>IF(Tabela1[[#This Row],[Caixa]]="Receita","Recebido",IF(G254="","",IF(H254="","",IF(H254&gt;G254,"Pago atrasado",IF(H254&lt;=G254,"Pago","Aguardando")))))</f>
        <v/>
      </c>
    </row>
    <row r="255" spans="1:10" ht="21" customHeight="1" x14ac:dyDescent="0.2">
      <c r="A255" s="28"/>
      <c r="B255" s="29"/>
      <c r="C255" s="29"/>
      <c r="D255" s="48" t="str">
        <f>IFERROR(VLOOKUP(Tabela1[[#This Row],[Tag]],TAGS!$J$1:$K$9,2,0),"")</f>
        <v/>
      </c>
      <c r="E255" s="29"/>
      <c r="F255" s="30"/>
      <c r="G255" s="31"/>
      <c r="H255" s="31"/>
      <c r="I255" s="4" t="str">
        <f t="shared" si="8"/>
        <v/>
      </c>
      <c r="J255" s="5" t="str">
        <f>IF(Tabela1[[#This Row],[Caixa]]="Receita","Recebido",IF(G255="","",IF(H255="","",IF(H255&gt;G255,"Pago atrasado",IF(H255&lt;=G255,"Pago","Aguardando")))))</f>
        <v/>
      </c>
    </row>
    <row r="256" spans="1:10" ht="21" customHeight="1" x14ac:dyDescent="0.2">
      <c r="A256" s="28"/>
      <c r="B256" s="29"/>
      <c r="C256" s="29"/>
      <c r="D256" s="48" t="str">
        <f>IFERROR(VLOOKUP(Tabela1[[#This Row],[Tag]],TAGS!$J$1:$K$9,2,0),"")</f>
        <v/>
      </c>
      <c r="E256" s="29"/>
      <c r="F256" s="30"/>
      <c r="G256" s="31"/>
      <c r="H256" s="31"/>
      <c r="I256" s="4" t="str">
        <f t="shared" si="8"/>
        <v/>
      </c>
      <c r="J256" s="5" t="str">
        <f>IF(Tabela1[[#This Row],[Caixa]]="Receita","Recebido",IF(G256="","",IF(H256="","",IF(H256&gt;G256,"Pago atrasado",IF(H256&lt;=G256,"Pago","Aguardando")))))</f>
        <v/>
      </c>
    </row>
    <row r="257" spans="1:10" ht="21" customHeight="1" x14ac:dyDescent="0.2">
      <c r="A257" s="28"/>
      <c r="B257" s="29"/>
      <c r="C257" s="29"/>
      <c r="D257" s="48" t="str">
        <f>IFERROR(VLOOKUP(Tabela1[[#This Row],[Tag]],TAGS!$J$1:$K$9,2,0),"")</f>
        <v/>
      </c>
      <c r="E257" s="29"/>
      <c r="F257" s="30"/>
      <c r="G257" s="31"/>
      <c r="H257" s="31"/>
      <c r="I257" s="4" t="str">
        <f t="shared" si="8"/>
        <v/>
      </c>
      <c r="J257" s="5" t="str">
        <f>IF(Tabela1[[#This Row],[Caixa]]="Receita","Recebido",IF(G257="","",IF(H257="","",IF(H257&gt;G257,"Pago atrasado",IF(H257&lt;=G257,"Pago","Aguardando")))))</f>
        <v/>
      </c>
    </row>
    <row r="258" spans="1:10" ht="21" customHeight="1" x14ac:dyDescent="0.2">
      <c r="A258" s="28"/>
      <c r="B258" s="29"/>
      <c r="C258" s="29"/>
      <c r="D258" s="48" t="str">
        <f>IFERROR(VLOOKUP(Tabela1[[#This Row],[Tag]],TAGS!$J$1:$K$9,2,0),"")</f>
        <v/>
      </c>
      <c r="E258" s="29"/>
      <c r="F258" s="30"/>
      <c r="G258" s="31"/>
      <c r="H258" s="31"/>
      <c r="I258" s="4" t="str">
        <f t="shared" si="8"/>
        <v/>
      </c>
      <c r="J258" s="5" t="str">
        <f>IF(Tabela1[[#This Row],[Caixa]]="Receita","Recebido",IF(G258="","",IF(H258="","",IF(H258&gt;G258,"Pago atrasado",IF(H258&lt;=G258,"Pago","Aguardando")))))</f>
        <v/>
      </c>
    </row>
    <row r="259" spans="1:10" ht="21" customHeight="1" x14ac:dyDescent="0.2">
      <c r="A259" s="28"/>
      <c r="B259" s="29"/>
      <c r="C259" s="29"/>
      <c r="D259" s="48" t="str">
        <f>IFERROR(VLOOKUP(Tabela1[[#This Row],[Tag]],TAGS!$J$1:$K$9,2,0),"")</f>
        <v/>
      </c>
      <c r="E259" s="29"/>
      <c r="F259" s="30"/>
      <c r="G259" s="31"/>
      <c r="H259" s="31"/>
      <c r="I259" s="4" t="str">
        <f t="shared" si="8"/>
        <v/>
      </c>
      <c r="J259" s="5" t="str">
        <f>IF(Tabela1[[#This Row],[Caixa]]="Receita","Recebido",IF(G259="","",IF(H259="","",IF(H259&gt;G259,"Pago atrasado",IF(H259&lt;=G259,"Pago","Aguardando")))))</f>
        <v/>
      </c>
    </row>
    <row r="260" spans="1:10" ht="21" customHeight="1" x14ac:dyDescent="0.2">
      <c r="A260" s="28"/>
      <c r="B260" s="29"/>
      <c r="C260" s="29"/>
      <c r="D260" s="48" t="str">
        <f>IFERROR(VLOOKUP(Tabela1[[#This Row],[Tag]],TAGS!$J$1:$K$9,2,0),"")</f>
        <v/>
      </c>
      <c r="E260" s="29"/>
      <c r="F260" s="30"/>
      <c r="G260" s="31"/>
      <c r="H260" s="31"/>
      <c r="I260" s="4" t="str">
        <f t="shared" si="8"/>
        <v/>
      </c>
      <c r="J260" s="5" t="str">
        <f>IF(Tabela1[[#This Row],[Caixa]]="Receita","Recebido",IF(G260="","",IF(H260="","",IF(H260&gt;G260,"Pago atrasado",IF(H260&lt;=G260,"Pago","Aguardando")))))</f>
        <v/>
      </c>
    </row>
    <row r="261" spans="1:10" ht="21" customHeight="1" x14ac:dyDescent="0.2">
      <c r="A261" s="28"/>
      <c r="B261" s="29"/>
      <c r="C261" s="29"/>
      <c r="D261" s="48" t="str">
        <f>IFERROR(VLOOKUP(Tabela1[[#This Row],[Tag]],TAGS!$J$1:$K$9,2,0),"")</f>
        <v/>
      </c>
      <c r="E261" s="29"/>
      <c r="F261" s="30"/>
      <c r="G261" s="31"/>
      <c r="H261" s="31"/>
      <c r="I261" s="4" t="str">
        <f t="shared" si="8"/>
        <v/>
      </c>
      <c r="J261" s="5" t="str">
        <f>IF(Tabela1[[#This Row],[Caixa]]="Receita","Recebido",IF(G261="","",IF(H261="","",IF(H261&gt;G261,"Pago atrasado",IF(H261&lt;=G261,"Pago","Aguardando")))))</f>
        <v/>
      </c>
    </row>
    <row r="262" spans="1:10" ht="21" customHeight="1" x14ac:dyDescent="0.2">
      <c r="A262" s="28"/>
      <c r="B262" s="29"/>
      <c r="C262" s="29"/>
      <c r="D262" s="48" t="str">
        <f>IFERROR(VLOOKUP(Tabela1[[#This Row],[Tag]],TAGS!$J$1:$K$9,2,0),"")</f>
        <v/>
      </c>
      <c r="E262" s="29"/>
      <c r="F262" s="30"/>
      <c r="G262" s="31"/>
      <c r="H262" s="31"/>
      <c r="I262" s="4" t="str">
        <f t="shared" si="8"/>
        <v/>
      </c>
      <c r="J262" s="5" t="str">
        <f>IF(Tabela1[[#This Row],[Caixa]]="Receita","Recebido",IF(G262="","",IF(H262="","",IF(H262&gt;G262,"Pago atrasado",IF(H262&lt;=G262,"Pago","Aguardando")))))</f>
        <v/>
      </c>
    </row>
    <row r="263" spans="1:10" ht="21" customHeight="1" x14ac:dyDescent="0.2">
      <c r="A263" s="28"/>
      <c r="B263" s="29"/>
      <c r="C263" s="29"/>
      <c r="D263" s="48" t="str">
        <f>IFERROR(VLOOKUP(Tabela1[[#This Row],[Tag]],TAGS!$J$1:$K$9,2,0),"")</f>
        <v/>
      </c>
      <c r="E263" s="29"/>
      <c r="F263" s="30"/>
      <c r="G263" s="31"/>
      <c r="H263" s="31"/>
      <c r="I263" s="4" t="str">
        <f t="shared" si="8"/>
        <v/>
      </c>
      <c r="J263" s="5" t="str">
        <f>IF(Tabela1[[#This Row],[Caixa]]="Receita","Recebido",IF(G263="","",IF(H263="","",IF(H263&gt;G263,"Pago atrasado",IF(H263&lt;=G263,"Pago","Aguardando")))))</f>
        <v/>
      </c>
    </row>
    <row r="264" spans="1:10" ht="21" customHeight="1" x14ac:dyDescent="0.2">
      <c r="A264" s="28"/>
      <c r="B264" s="29"/>
      <c r="C264" s="29"/>
      <c r="D264" s="48" t="str">
        <f>IFERROR(VLOOKUP(Tabela1[[#This Row],[Tag]],TAGS!$J$1:$K$9,2,0),"")</f>
        <v/>
      </c>
      <c r="E264" s="29"/>
      <c r="F264" s="30"/>
      <c r="G264" s="31"/>
      <c r="H264" s="31"/>
      <c r="I264" s="4" t="str">
        <f t="shared" si="8"/>
        <v/>
      </c>
      <c r="J264" s="5" t="str">
        <f>IF(Tabela1[[#This Row],[Caixa]]="Receita","Recebido",IF(G264="","",IF(H264="","",IF(H264&gt;G264,"Pago atrasado",IF(H264&lt;=G264,"Pago","Aguardando")))))</f>
        <v/>
      </c>
    </row>
    <row r="265" spans="1:10" ht="21" customHeight="1" x14ac:dyDescent="0.2">
      <c r="A265" s="28"/>
      <c r="B265" s="29"/>
      <c r="C265" s="29"/>
      <c r="D265" s="48" t="str">
        <f>IFERROR(VLOOKUP(Tabela1[[#This Row],[Tag]],TAGS!$J$1:$K$9,2,0),"")</f>
        <v/>
      </c>
      <c r="E265" s="29"/>
      <c r="F265" s="30"/>
      <c r="G265" s="31"/>
      <c r="H265" s="31"/>
      <c r="I265" s="4" t="str">
        <f t="shared" si="8"/>
        <v/>
      </c>
      <c r="J265" s="5" t="str">
        <f>IF(Tabela1[[#This Row],[Caixa]]="Receita","Recebido",IF(G265="","",IF(H265="","",IF(H265&gt;G265,"Pago atrasado",IF(H265&lt;=G265,"Pago","Aguardando")))))</f>
        <v/>
      </c>
    </row>
    <row r="266" spans="1:10" ht="21" customHeight="1" x14ac:dyDescent="0.2">
      <c r="A266" s="28"/>
      <c r="B266" s="29"/>
      <c r="C266" s="29"/>
      <c r="D266" s="48" t="str">
        <f>IFERROR(VLOOKUP(Tabela1[[#This Row],[Tag]],TAGS!$J$1:$K$9,2,0),"")</f>
        <v/>
      </c>
      <c r="E266" s="29"/>
      <c r="F266" s="30"/>
      <c r="G266" s="31"/>
      <c r="H266" s="31"/>
      <c r="I266" s="4" t="str">
        <f t="shared" si="8"/>
        <v/>
      </c>
      <c r="J266" s="5" t="str">
        <f>IF(Tabela1[[#This Row],[Caixa]]="Receita","Recebido",IF(G266="","",IF(H266="","",IF(H266&gt;G266,"Pago atrasado",IF(H266&lt;=G266,"Pago","Aguardando")))))</f>
        <v/>
      </c>
    </row>
    <row r="267" spans="1:10" ht="21" customHeight="1" x14ac:dyDescent="0.2">
      <c r="A267" s="28"/>
      <c r="B267" s="29"/>
      <c r="C267" s="29"/>
      <c r="D267" s="48" t="str">
        <f>IFERROR(VLOOKUP(Tabela1[[#This Row],[Tag]],TAGS!$J$1:$K$9,2,0),"")</f>
        <v/>
      </c>
      <c r="E267" s="29"/>
      <c r="F267" s="30"/>
      <c r="G267" s="31"/>
      <c r="H267" s="31"/>
      <c r="I267" s="4" t="str">
        <f t="shared" si="8"/>
        <v/>
      </c>
      <c r="J267" s="5" t="str">
        <f>IF(Tabela1[[#This Row],[Caixa]]="Receita","Recebido",IF(G267="","",IF(H267="","",IF(H267&gt;G267,"Pago atrasado",IF(H267&lt;=G267,"Pago","Aguardando")))))</f>
        <v/>
      </c>
    </row>
    <row r="268" spans="1:10" ht="21" customHeight="1" x14ac:dyDescent="0.2">
      <c r="A268" s="28"/>
      <c r="B268" s="29"/>
      <c r="C268" s="29"/>
      <c r="D268" s="48" t="str">
        <f>IFERROR(VLOOKUP(Tabela1[[#This Row],[Tag]],TAGS!$J$1:$K$9,2,0),"")</f>
        <v/>
      </c>
      <c r="E268" s="29"/>
      <c r="F268" s="30"/>
      <c r="G268" s="31"/>
      <c r="H268" s="31"/>
      <c r="I268" s="4" t="str">
        <f t="shared" si="8"/>
        <v/>
      </c>
      <c r="J268" s="5" t="str">
        <f>IF(Tabela1[[#This Row],[Caixa]]="Receita","Recebido",IF(G268="","",IF(H268="","",IF(H268&gt;G268,"Pago atrasado",IF(H268&lt;=G268,"Pago","Aguardando")))))</f>
        <v/>
      </c>
    </row>
    <row r="269" spans="1:10" ht="21" customHeight="1" x14ac:dyDescent="0.2">
      <c r="A269" s="28"/>
      <c r="B269" s="29"/>
      <c r="C269" s="29"/>
      <c r="D269" s="48" t="str">
        <f>IFERROR(VLOOKUP(Tabela1[[#This Row],[Tag]],TAGS!$J$1:$K$9,2,0),"")</f>
        <v/>
      </c>
      <c r="E269" s="29"/>
      <c r="F269" s="30"/>
      <c r="G269" s="31"/>
      <c r="H269" s="31"/>
      <c r="I269" s="4" t="str">
        <f t="shared" si="8"/>
        <v/>
      </c>
      <c r="J269" s="5" t="str">
        <f>IF(Tabela1[[#This Row],[Caixa]]="Receita","Recebido",IF(G269="","",IF(H269="","",IF(H269&gt;G269,"Pago atrasado",IF(H269&lt;=G269,"Pago","Aguardando")))))</f>
        <v/>
      </c>
    </row>
    <row r="270" spans="1:10" ht="21" customHeight="1" x14ac:dyDescent="0.2">
      <c r="A270" s="28"/>
      <c r="B270" s="29"/>
      <c r="C270" s="29"/>
      <c r="D270" s="48" t="str">
        <f>IFERROR(VLOOKUP(Tabela1[[#This Row],[Tag]],TAGS!$J$1:$K$9,2,0),"")</f>
        <v/>
      </c>
      <c r="E270" s="29"/>
      <c r="F270" s="30"/>
      <c r="G270" s="31"/>
      <c r="H270" s="31"/>
      <c r="I270" s="4" t="str">
        <f t="shared" si="8"/>
        <v/>
      </c>
      <c r="J270" s="5" t="str">
        <f>IF(Tabela1[[#This Row],[Caixa]]="Receita","Recebido",IF(G270="","",IF(H270="","",IF(H270&gt;G270,"Pago atrasado",IF(H270&lt;=G270,"Pago","Aguardando")))))</f>
        <v/>
      </c>
    </row>
    <row r="271" spans="1:10" ht="21" customHeight="1" x14ac:dyDescent="0.2">
      <c r="A271" s="28"/>
      <c r="B271" s="29"/>
      <c r="C271" s="29"/>
      <c r="D271" s="48" t="str">
        <f>IFERROR(VLOOKUP(Tabela1[[#This Row],[Tag]],TAGS!$J$1:$K$9,2,0),"")</f>
        <v/>
      </c>
      <c r="E271" s="29"/>
      <c r="F271" s="30"/>
      <c r="G271" s="31"/>
      <c r="H271" s="31"/>
      <c r="I271" s="4" t="str">
        <f t="shared" si="8"/>
        <v/>
      </c>
      <c r="J271" s="5" t="str">
        <f>IF(Tabela1[[#This Row],[Caixa]]="Receita","Recebido",IF(G271="","",IF(H271="","",IF(H271&gt;G271,"Pago atrasado",IF(H271&lt;=G271,"Pago","Aguardando")))))</f>
        <v/>
      </c>
    </row>
    <row r="272" spans="1:10" ht="21" customHeight="1" x14ac:dyDescent="0.2">
      <c r="A272" s="28"/>
      <c r="B272" s="29"/>
      <c r="C272" s="29"/>
      <c r="D272" s="48" t="str">
        <f>IFERROR(VLOOKUP(Tabela1[[#This Row],[Tag]],TAGS!$J$1:$K$9,2,0),"")</f>
        <v/>
      </c>
      <c r="E272" s="29"/>
      <c r="F272" s="30"/>
      <c r="G272" s="31"/>
      <c r="H272" s="31"/>
      <c r="I272" s="4" t="str">
        <f t="shared" si="8"/>
        <v/>
      </c>
      <c r="J272" s="5" t="str">
        <f>IF(Tabela1[[#This Row],[Caixa]]="Receita","Recebido",IF(G272="","",IF(H272="","",IF(H272&gt;G272,"Pago atrasado",IF(H272&lt;=G272,"Pago","Aguardando")))))</f>
        <v/>
      </c>
    </row>
    <row r="273" spans="1:10" ht="21" customHeight="1" x14ac:dyDescent="0.2">
      <c r="A273" s="28"/>
      <c r="B273" s="29"/>
      <c r="C273" s="29"/>
      <c r="D273" s="48" t="str">
        <f>IFERROR(VLOOKUP(Tabela1[[#This Row],[Tag]],TAGS!$J$1:$K$9,2,0),"")</f>
        <v/>
      </c>
      <c r="E273" s="29"/>
      <c r="F273" s="30"/>
      <c r="G273" s="31"/>
      <c r="H273" s="31"/>
      <c r="I273" s="4" t="str">
        <f t="shared" si="8"/>
        <v/>
      </c>
      <c r="J273" s="5" t="str">
        <f>IF(Tabela1[[#This Row],[Caixa]]="Receita","Recebido",IF(G273="","",IF(H273="","",IF(H273&gt;G273,"Pago atrasado",IF(H273&lt;=G273,"Pago","Aguardando")))))</f>
        <v/>
      </c>
    </row>
    <row r="274" spans="1:10" ht="21" customHeight="1" x14ac:dyDescent="0.2">
      <c r="A274" s="28"/>
      <c r="B274" s="29"/>
      <c r="C274" s="29"/>
      <c r="D274" s="48" t="str">
        <f>IFERROR(VLOOKUP(Tabela1[[#This Row],[Tag]],TAGS!$J$1:$K$9,2,0),"")</f>
        <v/>
      </c>
      <c r="E274" s="29"/>
      <c r="F274" s="30"/>
      <c r="G274" s="31"/>
      <c r="H274" s="31"/>
      <c r="I274" s="4" t="str">
        <f t="shared" si="8"/>
        <v/>
      </c>
      <c r="J274" s="5" t="str">
        <f>IF(Tabela1[[#This Row],[Caixa]]="Receita","Recebido",IF(G274="","",IF(H274="","",IF(H274&gt;G274,"Pago atrasado",IF(H274&lt;=G274,"Pago","Aguardando")))))</f>
        <v/>
      </c>
    </row>
    <row r="275" spans="1:10" ht="21" customHeight="1" x14ac:dyDescent="0.2">
      <c r="A275" s="28"/>
      <c r="B275" s="29"/>
      <c r="C275" s="29"/>
      <c r="D275" s="48" t="str">
        <f>IFERROR(VLOOKUP(Tabela1[[#This Row],[Tag]],TAGS!$J$1:$K$9,2,0),"")</f>
        <v/>
      </c>
      <c r="E275" s="29"/>
      <c r="F275" s="30"/>
      <c r="G275" s="31"/>
      <c r="H275" s="31"/>
      <c r="I275" s="4" t="str">
        <f t="shared" si="8"/>
        <v/>
      </c>
      <c r="J275" s="5" t="str">
        <f>IF(Tabela1[[#This Row],[Caixa]]="Receita","Recebido",IF(G275="","",IF(H275="","",IF(H275&gt;G275,"Pago atrasado",IF(H275&lt;=G275,"Pago","Aguardando")))))</f>
        <v/>
      </c>
    </row>
    <row r="276" spans="1:10" ht="21" customHeight="1" x14ac:dyDescent="0.2">
      <c r="A276" s="28"/>
      <c r="B276" s="29"/>
      <c r="C276" s="29"/>
      <c r="D276" s="48" t="str">
        <f>IFERROR(VLOOKUP(Tabela1[[#This Row],[Tag]],TAGS!$J$1:$K$9,2,0),"")</f>
        <v/>
      </c>
      <c r="E276" s="29"/>
      <c r="F276" s="30"/>
      <c r="G276" s="31"/>
      <c r="H276" s="31"/>
      <c r="I276" s="4" t="str">
        <f t="shared" si="8"/>
        <v/>
      </c>
      <c r="J276" s="5" t="str">
        <f>IF(Tabela1[[#This Row],[Caixa]]="Receita","Recebido",IF(G276="","",IF(H276="","",IF(H276&gt;G276,"Pago atrasado",IF(H276&lt;=G276,"Pago","Aguardando")))))</f>
        <v/>
      </c>
    </row>
    <row r="277" spans="1:10" ht="21" customHeight="1" x14ac:dyDescent="0.2">
      <c r="A277" s="28"/>
      <c r="B277" s="29"/>
      <c r="C277" s="29"/>
      <c r="D277" s="48" t="str">
        <f>IFERROR(VLOOKUP(Tabela1[[#This Row],[Tag]],TAGS!$J$1:$K$9,2,0),"")</f>
        <v/>
      </c>
      <c r="E277" s="29"/>
      <c r="F277" s="30"/>
      <c r="G277" s="31"/>
      <c r="H277" s="31"/>
      <c r="I277" s="4" t="str">
        <f t="shared" si="8"/>
        <v/>
      </c>
      <c r="J277" s="5" t="str">
        <f>IF(Tabela1[[#This Row],[Caixa]]="Receita","Recebido",IF(G277="","",IF(H277="","",IF(H277&gt;G277,"Pago atrasado",IF(H277&lt;=G277,"Pago","Aguardando")))))</f>
        <v/>
      </c>
    </row>
    <row r="278" spans="1:10" ht="21" customHeight="1" x14ac:dyDescent="0.2">
      <c r="A278" s="28"/>
      <c r="B278" s="29"/>
      <c r="C278" s="29"/>
      <c r="D278" s="48" t="str">
        <f>IFERROR(VLOOKUP(Tabela1[[#This Row],[Tag]],TAGS!$J$1:$K$9,2,0),"")</f>
        <v/>
      </c>
      <c r="E278" s="29"/>
      <c r="F278" s="30"/>
      <c r="G278" s="31"/>
      <c r="H278" s="31"/>
      <c r="I278" s="4" t="str">
        <f t="shared" si="8"/>
        <v/>
      </c>
      <c r="J278" s="5" t="str">
        <f>IF(Tabela1[[#This Row],[Caixa]]="Receita","Recebido",IF(G278="","",IF(H278="","",IF(H278&gt;G278,"Pago atrasado",IF(H278&lt;=G278,"Pago","Aguardando")))))</f>
        <v/>
      </c>
    </row>
    <row r="279" spans="1:10" ht="21" customHeight="1" x14ac:dyDescent="0.2">
      <c r="A279" s="28"/>
      <c r="B279" s="29"/>
      <c r="C279" s="29"/>
      <c r="D279" s="48" t="str">
        <f>IFERROR(VLOOKUP(Tabela1[[#This Row],[Tag]],TAGS!$J$1:$K$9,2,0),"")</f>
        <v/>
      </c>
      <c r="E279" s="29"/>
      <c r="F279" s="30"/>
      <c r="G279" s="31"/>
      <c r="H279" s="31"/>
      <c r="I279" s="4" t="str">
        <f t="shared" si="8"/>
        <v/>
      </c>
      <c r="J279" s="5" t="str">
        <f>IF(Tabela1[[#This Row],[Caixa]]="Receita","Recebido",IF(G279="","",IF(H279="","",IF(H279&gt;G279,"Pago atrasado",IF(H279&lt;=G279,"Pago","Aguardando")))))</f>
        <v/>
      </c>
    </row>
    <row r="280" spans="1:10" ht="21" customHeight="1" x14ac:dyDescent="0.2">
      <c r="A280" s="28"/>
      <c r="B280" s="29"/>
      <c r="C280" s="29"/>
      <c r="D280" s="48" t="str">
        <f>IFERROR(VLOOKUP(Tabela1[[#This Row],[Tag]],TAGS!$J$1:$K$9,2,0),"")</f>
        <v/>
      </c>
      <c r="E280" s="29"/>
      <c r="F280" s="30"/>
      <c r="G280" s="31"/>
      <c r="H280" s="31"/>
      <c r="I280" s="4" t="str">
        <f t="shared" si="8"/>
        <v/>
      </c>
      <c r="J280" s="5" t="str">
        <f>IF(Tabela1[[#This Row],[Caixa]]="Receita","Recebido",IF(G280="","",IF(H280="","",IF(H280&gt;G280,"Pago atrasado",IF(H280&lt;=G280,"Pago","Aguardando")))))</f>
        <v/>
      </c>
    </row>
    <row r="281" spans="1:10" ht="21" customHeight="1" x14ac:dyDescent="0.2">
      <c r="A281" s="28"/>
      <c r="B281" s="29"/>
      <c r="C281" s="29"/>
      <c r="D281" s="48" t="str">
        <f>IFERROR(VLOOKUP(Tabela1[[#This Row],[Tag]],TAGS!$J$1:$K$9,2,0),"")</f>
        <v/>
      </c>
      <c r="E281" s="29"/>
      <c r="F281" s="30"/>
      <c r="G281" s="31"/>
      <c r="H281" s="31"/>
      <c r="I281" s="4" t="str">
        <f t="shared" si="8"/>
        <v/>
      </c>
      <c r="J281" s="5" t="str">
        <f>IF(Tabela1[[#This Row],[Caixa]]="Receita","Recebido",IF(G281="","",IF(H281="","",IF(H281&gt;G281,"Pago atrasado",IF(H281&lt;=G281,"Pago","Aguardando")))))</f>
        <v/>
      </c>
    </row>
    <row r="282" spans="1:10" ht="21" customHeight="1" x14ac:dyDescent="0.2">
      <c r="A282" s="28"/>
      <c r="B282" s="29"/>
      <c r="C282" s="29"/>
      <c r="D282" s="48" t="str">
        <f>IFERROR(VLOOKUP(Tabela1[[#This Row],[Tag]],TAGS!$J$1:$K$9,2,0),"")</f>
        <v/>
      </c>
      <c r="E282" s="29"/>
      <c r="F282" s="30"/>
      <c r="G282" s="31"/>
      <c r="H282" s="31"/>
      <c r="I282" s="4" t="str">
        <f t="shared" si="8"/>
        <v/>
      </c>
      <c r="J282" s="5" t="str">
        <f>IF(Tabela1[[#This Row],[Caixa]]="Receita","Recebido",IF(G282="","",IF(H282="","",IF(H282&gt;G282,"Pago atrasado",IF(H282&lt;=G282,"Pago","Aguardando")))))</f>
        <v/>
      </c>
    </row>
    <row r="283" spans="1:10" ht="21" customHeight="1" x14ac:dyDescent="0.2">
      <c r="A283" s="28"/>
      <c r="B283" s="29"/>
      <c r="C283" s="29"/>
      <c r="D283" s="48" t="str">
        <f>IFERROR(VLOOKUP(Tabela1[[#This Row],[Tag]],TAGS!$J$1:$K$9,2,0),"")</f>
        <v/>
      </c>
      <c r="E283" s="29"/>
      <c r="F283" s="30"/>
      <c r="G283" s="31"/>
      <c r="H283" s="31"/>
      <c r="I283" s="4" t="str">
        <f t="shared" si="8"/>
        <v/>
      </c>
      <c r="J283" s="5" t="str">
        <f>IF(Tabela1[[#This Row],[Caixa]]="Receita","Recebido",IF(G283="","",IF(H283="","",IF(H283&gt;G283,"Pago atrasado",IF(H283&lt;=G283,"Pago","Aguardando")))))</f>
        <v/>
      </c>
    </row>
    <row r="284" spans="1:10" ht="21" customHeight="1" x14ac:dyDescent="0.2">
      <c r="A284" s="28"/>
      <c r="B284" s="29"/>
      <c r="C284" s="29"/>
      <c r="D284" s="48" t="str">
        <f>IFERROR(VLOOKUP(Tabela1[[#This Row],[Tag]],TAGS!$J$1:$K$9,2,0),"")</f>
        <v/>
      </c>
      <c r="E284" s="29"/>
      <c r="F284" s="30"/>
      <c r="G284" s="31"/>
      <c r="H284" s="31"/>
      <c r="I284" s="4" t="str">
        <f t="shared" si="8"/>
        <v/>
      </c>
      <c r="J284" s="5" t="str">
        <f>IF(Tabela1[[#This Row],[Caixa]]="Receita","Recebido",IF(G284="","",IF(H284="","",IF(H284&gt;G284,"Pago atrasado",IF(H284&lt;=G284,"Pago","Aguardando")))))</f>
        <v/>
      </c>
    </row>
    <row r="285" spans="1:10" ht="21" customHeight="1" x14ac:dyDescent="0.2">
      <c r="A285" s="28"/>
      <c r="B285" s="29"/>
      <c r="C285" s="29"/>
      <c r="D285" s="48" t="str">
        <f>IFERROR(VLOOKUP(Tabela1[[#This Row],[Tag]],TAGS!$J$1:$K$9,2,0),"")</f>
        <v/>
      </c>
      <c r="E285" s="29"/>
      <c r="F285" s="30"/>
      <c r="G285" s="31"/>
      <c r="H285" s="31"/>
      <c r="I285" s="4" t="str">
        <f t="shared" si="8"/>
        <v/>
      </c>
      <c r="J285" s="5" t="str">
        <f>IF(Tabela1[[#This Row],[Caixa]]="Receita","Recebido",IF(G285="","",IF(H285="","",IF(H285&gt;G285,"Pago atrasado",IF(H285&lt;=G285,"Pago","Aguardando")))))</f>
        <v/>
      </c>
    </row>
    <row r="286" spans="1:10" ht="21" customHeight="1" x14ac:dyDescent="0.2">
      <c r="A286" s="28"/>
      <c r="B286" s="29"/>
      <c r="C286" s="29"/>
      <c r="D286" s="48" t="str">
        <f>IFERROR(VLOOKUP(Tabela1[[#This Row],[Tag]],TAGS!$J$1:$K$9,2,0),"")</f>
        <v/>
      </c>
      <c r="E286" s="29"/>
      <c r="F286" s="30"/>
      <c r="G286" s="31"/>
      <c r="H286" s="31"/>
      <c r="I286" s="4" t="str">
        <f t="shared" si="8"/>
        <v/>
      </c>
      <c r="J286" s="5" t="str">
        <f>IF(Tabela1[[#This Row],[Caixa]]="Receita","Recebido",IF(G286="","",IF(H286="","",IF(H286&gt;G286,"Pago atrasado",IF(H286&lt;=G286,"Pago","Aguardando")))))</f>
        <v/>
      </c>
    </row>
    <row r="287" spans="1:10" ht="21" customHeight="1" x14ac:dyDescent="0.2">
      <c r="A287" s="28"/>
      <c r="B287" s="29"/>
      <c r="C287" s="29"/>
      <c r="D287" s="48" t="str">
        <f>IFERROR(VLOOKUP(Tabela1[[#This Row],[Tag]],TAGS!$J$1:$K$9,2,0),"")</f>
        <v/>
      </c>
      <c r="E287" s="29"/>
      <c r="F287" s="30"/>
      <c r="G287" s="31"/>
      <c r="H287" s="31"/>
      <c r="I287" s="4" t="str">
        <f t="shared" si="8"/>
        <v/>
      </c>
      <c r="J287" s="5" t="str">
        <f>IF(Tabela1[[#This Row],[Caixa]]="Receita","Recebido",IF(G287="","",IF(H287="","",IF(H287&gt;G287,"Pago atrasado",IF(H287&lt;=G287,"Pago","Aguardando")))))</f>
        <v/>
      </c>
    </row>
    <row r="288" spans="1:10" ht="21" customHeight="1" x14ac:dyDescent="0.2">
      <c r="A288" s="28"/>
      <c r="B288" s="29"/>
      <c r="C288" s="29"/>
      <c r="D288" s="48" t="str">
        <f>IFERROR(VLOOKUP(Tabela1[[#This Row],[Tag]],TAGS!$J$1:$K$9,2,0),"")</f>
        <v/>
      </c>
      <c r="E288" s="29"/>
      <c r="F288" s="30"/>
      <c r="G288" s="31"/>
      <c r="H288" s="31"/>
      <c r="I288" s="4" t="str">
        <f t="shared" si="8"/>
        <v/>
      </c>
      <c r="J288" s="5" t="str">
        <f>IF(Tabela1[[#This Row],[Caixa]]="Receita","Recebido",IF(G288="","",IF(H288="","",IF(H288&gt;G288,"Pago atrasado",IF(H288&lt;=G288,"Pago","Aguardando")))))</f>
        <v/>
      </c>
    </row>
    <row r="289" spans="1:10" ht="21" customHeight="1" x14ac:dyDescent="0.2">
      <c r="A289" s="28"/>
      <c r="B289" s="29"/>
      <c r="C289" s="29"/>
      <c r="D289" s="48" t="str">
        <f>IFERROR(VLOOKUP(Tabela1[[#This Row],[Tag]],TAGS!$J$1:$K$9,2,0),"")</f>
        <v/>
      </c>
      <c r="E289" s="29"/>
      <c r="F289" s="30"/>
      <c r="G289" s="31"/>
      <c r="H289" s="31"/>
      <c r="I289" s="4" t="str">
        <f t="shared" si="8"/>
        <v/>
      </c>
      <c r="J289" s="5" t="str">
        <f>IF(Tabela1[[#This Row],[Caixa]]="Receita","Recebido",IF(G289="","",IF(H289="","",IF(H289&gt;G289,"Pago atrasado",IF(H289&lt;=G289,"Pago","Aguardando")))))</f>
        <v/>
      </c>
    </row>
    <row r="290" spans="1:10" ht="21" customHeight="1" x14ac:dyDescent="0.2">
      <c r="A290" s="28"/>
      <c r="B290" s="29"/>
      <c r="C290" s="29"/>
      <c r="D290" s="48" t="str">
        <f>IFERROR(VLOOKUP(Tabela1[[#This Row],[Tag]],TAGS!$J$1:$K$9,2,0),"")</f>
        <v/>
      </c>
      <c r="E290" s="29"/>
      <c r="F290" s="30"/>
      <c r="G290" s="31"/>
      <c r="H290" s="31"/>
      <c r="I290" s="4" t="str">
        <f t="shared" si="8"/>
        <v/>
      </c>
      <c r="J290" s="5" t="str">
        <f>IF(Tabela1[[#This Row],[Caixa]]="Receita","Recebido",IF(G290="","",IF(H290="","",IF(H290&gt;G290,"Pago atrasado",IF(H290&lt;=G290,"Pago","Aguardando")))))</f>
        <v/>
      </c>
    </row>
    <row r="291" spans="1:10" ht="21" customHeight="1" x14ac:dyDescent="0.2">
      <c r="A291" s="28"/>
      <c r="B291" s="29"/>
      <c r="C291" s="29"/>
      <c r="D291" s="48" t="str">
        <f>IFERROR(VLOOKUP(Tabela1[[#This Row],[Tag]],TAGS!$J$1:$K$9,2,0),"")</f>
        <v/>
      </c>
      <c r="E291" s="29"/>
      <c r="F291" s="30"/>
      <c r="G291" s="31"/>
      <c r="H291" s="31"/>
      <c r="I291" s="4" t="str">
        <f t="shared" si="8"/>
        <v/>
      </c>
      <c r="J291" s="5" t="str">
        <f>IF(Tabela1[[#This Row],[Caixa]]="Receita","Recebido",IF(G291="","",IF(H291="","",IF(H291&gt;G291,"Pago atrasado",IF(H291&lt;=G291,"Pago","Aguardando")))))</f>
        <v/>
      </c>
    </row>
    <row r="292" spans="1:10" ht="21" customHeight="1" x14ac:dyDescent="0.2">
      <c r="A292" s="28"/>
      <c r="B292" s="29"/>
      <c r="C292" s="29"/>
      <c r="D292" s="48" t="str">
        <f>IFERROR(VLOOKUP(Tabela1[[#This Row],[Tag]],TAGS!$J$1:$K$9,2,0),"")</f>
        <v/>
      </c>
      <c r="E292" s="29"/>
      <c r="F292" s="30"/>
      <c r="G292" s="31"/>
      <c r="H292" s="31"/>
      <c r="I292" s="4" t="str">
        <f t="shared" si="8"/>
        <v/>
      </c>
      <c r="J292" s="5" t="str">
        <f>IF(Tabela1[[#This Row],[Caixa]]="Receita","Recebido",IF(G292="","",IF(H292="","",IF(H292&gt;G292,"Pago atrasado",IF(H292&lt;=G292,"Pago","Aguardando")))))</f>
        <v/>
      </c>
    </row>
    <row r="293" spans="1:10" ht="21" customHeight="1" x14ac:dyDescent="0.2">
      <c r="A293" s="28"/>
      <c r="B293" s="29"/>
      <c r="C293" s="29"/>
      <c r="D293" s="48" t="str">
        <f>IFERROR(VLOOKUP(Tabela1[[#This Row],[Tag]],TAGS!$J$1:$K$9,2,0),"")</f>
        <v/>
      </c>
      <c r="E293" s="29"/>
      <c r="F293" s="30"/>
      <c r="G293" s="31"/>
      <c r="H293" s="31"/>
      <c r="I293" s="4" t="str">
        <f t="shared" si="8"/>
        <v/>
      </c>
      <c r="J293" s="5" t="str">
        <f>IF(Tabela1[[#This Row],[Caixa]]="Receita","Recebido",IF(G293="","",IF(H293="","",IF(H293&gt;G293,"Pago atrasado",IF(H293&lt;=G293,"Pago","Aguardando")))))</f>
        <v/>
      </c>
    </row>
    <row r="294" spans="1:10" ht="21" customHeight="1" x14ac:dyDescent="0.2">
      <c r="A294" s="28"/>
      <c r="B294" s="29"/>
      <c r="C294" s="29"/>
      <c r="D294" s="48" t="str">
        <f>IFERROR(VLOOKUP(Tabela1[[#This Row],[Tag]],TAGS!$J$1:$K$9,2,0),"")</f>
        <v/>
      </c>
      <c r="E294" s="29"/>
      <c r="F294" s="30"/>
      <c r="G294" s="31"/>
      <c r="H294" s="31"/>
      <c r="I294" s="4" t="str">
        <f t="shared" si="8"/>
        <v/>
      </c>
      <c r="J294" s="5" t="str">
        <f>IF(Tabela1[[#This Row],[Caixa]]="Receita","Recebido",IF(G294="","",IF(H294="","",IF(H294&gt;G294,"Pago atrasado",IF(H294&lt;=G294,"Pago","Aguardando")))))</f>
        <v/>
      </c>
    </row>
    <row r="295" spans="1:10" ht="21" customHeight="1" x14ac:dyDescent="0.2">
      <c r="A295" s="28"/>
      <c r="B295" s="29"/>
      <c r="C295" s="29"/>
      <c r="D295" s="48" t="str">
        <f>IFERROR(VLOOKUP(Tabela1[[#This Row],[Tag]],TAGS!$J$1:$K$9,2,0),"")</f>
        <v/>
      </c>
      <c r="E295" s="29"/>
      <c r="F295" s="30"/>
      <c r="G295" s="31"/>
      <c r="H295" s="31"/>
      <c r="I295" s="4" t="str">
        <f t="shared" si="8"/>
        <v/>
      </c>
      <c r="J295" s="5" t="str">
        <f>IF(Tabela1[[#This Row],[Caixa]]="Receita","Recebido",IF(G295="","",IF(H295="","",IF(H295&gt;G295,"Pago atrasado",IF(H295&lt;=G295,"Pago","Aguardando")))))</f>
        <v/>
      </c>
    </row>
    <row r="296" spans="1:10" ht="21" customHeight="1" x14ac:dyDescent="0.2">
      <c r="A296" s="28"/>
      <c r="B296" s="29"/>
      <c r="C296" s="29"/>
      <c r="D296" s="48" t="str">
        <f>IFERROR(VLOOKUP(Tabela1[[#This Row],[Tag]],TAGS!$J$1:$K$9,2,0),"")</f>
        <v/>
      </c>
      <c r="E296" s="29"/>
      <c r="F296" s="30"/>
      <c r="G296" s="31"/>
      <c r="H296" s="31"/>
      <c r="I296" s="4" t="str">
        <f t="shared" si="8"/>
        <v/>
      </c>
      <c r="J296" s="5" t="str">
        <f>IF(Tabela1[[#This Row],[Caixa]]="Receita","Recebido",IF(G296="","",IF(H296="","",IF(H296&gt;G296,"Pago atrasado",IF(H296&lt;=G296,"Pago","Aguardando")))))</f>
        <v/>
      </c>
    </row>
    <row r="297" spans="1:10" ht="21" customHeight="1" x14ac:dyDescent="0.2">
      <c r="A297" s="28"/>
      <c r="B297" s="29"/>
      <c r="C297" s="29"/>
      <c r="D297" s="48" t="str">
        <f>IFERROR(VLOOKUP(Tabela1[[#This Row],[Tag]],TAGS!$J$1:$K$9,2,0),"")</f>
        <v/>
      </c>
      <c r="E297" s="29"/>
      <c r="F297" s="30"/>
      <c r="G297" s="31"/>
      <c r="H297" s="31"/>
      <c r="I297" s="4" t="str">
        <f t="shared" si="8"/>
        <v/>
      </c>
      <c r="J297" s="5" t="str">
        <f>IF(Tabela1[[#This Row],[Caixa]]="Receita","Recebido",IF(G297="","",IF(H297="","",IF(H297&gt;G297,"Pago atrasado",IF(H297&lt;=G297,"Pago","Aguardando")))))</f>
        <v/>
      </c>
    </row>
    <row r="298" spans="1:10" ht="21" customHeight="1" x14ac:dyDescent="0.2">
      <c r="A298" s="28"/>
      <c r="B298" s="29"/>
      <c r="C298" s="29"/>
      <c r="D298" s="48" t="str">
        <f>IFERROR(VLOOKUP(Tabela1[[#This Row],[Tag]],TAGS!$J$1:$K$9,2,0),"")</f>
        <v/>
      </c>
      <c r="E298" s="29"/>
      <c r="F298" s="30"/>
      <c r="G298" s="31"/>
      <c r="H298" s="31"/>
      <c r="I298" s="4" t="str">
        <f t="shared" si="8"/>
        <v/>
      </c>
      <c r="J298" s="5" t="str">
        <f>IF(Tabela1[[#This Row],[Caixa]]="Receita","Recebido",IF(G298="","",IF(H298="","",IF(H298&gt;G298,"Pago atrasado",IF(H298&lt;=G298,"Pago","Aguardando")))))</f>
        <v/>
      </c>
    </row>
    <row r="299" spans="1:10" ht="21" customHeight="1" x14ac:dyDescent="0.2">
      <c r="A299" s="28"/>
      <c r="B299" s="29"/>
      <c r="C299" s="29"/>
      <c r="D299" s="48" t="str">
        <f>IFERROR(VLOOKUP(Tabela1[[#This Row],[Tag]],TAGS!$J$1:$K$9,2,0),"")</f>
        <v/>
      </c>
      <c r="E299" s="29"/>
      <c r="F299" s="30"/>
      <c r="G299" s="31"/>
      <c r="H299" s="31"/>
      <c r="I299" s="4" t="str">
        <f t="shared" si="8"/>
        <v/>
      </c>
      <c r="J299" s="5" t="str">
        <f>IF(Tabela1[[#This Row],[Caixa]]="Receita","Recebido",IF(G299="","",IF(H299="","",IF(H299&gt;G299,"Pago atrasado",IF(H299&lt;=G299,"Pago","Aguardando")))))</f>
        <v/>
      </c>
    </row>
    <row r="300" spans="1:10" ht="21" customHeight="1" x14ac:dyDescent="0.2">
      <c r="A300" s="28"/>
      <c r="B300" s="29"/>
      <c r="C300" s="29"/>
      <c r="D300" s="48" t="str">
        <f>IFERROR(VLOOKUP(Tabela1[[#This Row],[Tag]],TAGS!$J$1:$K$9,2,0),"")</f>
        <v/>
      </c>
      <c r="E300" s="29"/>
      <c r="F300" s="30"/>
      <c r="G300" s="31"/>
      <c r="H300" s="31"/>
      <c r="I300" s="4" t="str">
        <f t="shared" si="8"/>
        <v/>
      </c>
      <c r="J300" s="5" t="str">
        <f>IF(Tabela1[[#This Row],[Caixa]]="Receita","Recebido",IF(G300="","",IF(H300="","",IF(H300&gt;G300,"Pago atrasado",IF(H300&lt;=G300,"Pago","Aguardando")))))</f>
        <v/>
      </c>
    </row>
    <row r="301" spans="1:10" ht="21" customHeight="1" x14ac:dyDescent="0.2">
      <c r="A301" s="28"/>
      <c r="B301" s="29"/>
      <c r="C301" s="29"/>
      <c r="D301" s="48" t="str">
        <f>IFERROR(VLOOKUP(Tabela1[[#This Row],[Tag]],TAGS!$J$1:$K$9,2,0),"")</f>
        <v/>
      </c>
      <c r="E301" s="29"/>
      <c r="F301" s="30"/>
      <c r="G301" s="31"/>
      <c r="H301" s="31"/>
      <c r="I301" s="4" t="str">
        <f t="shared" si="8"/>
        <v/>
      </c>
      <c r="J301" s="5" t="str">
        <f>IF(Tabela1[[#This Row],[Caixa]]="Receita","Recebido",IF(G301="","",IF(H301="","",IF(H301&gt;G301,"Pago atrasado",IF(H301&lt;=G301,"Pago","Aguardando")))))</f>
        <v/>
      </c>
    </row>
    <row r="302" spans="1:10" ht="21" customHeight="1" x14ac:dyDescent="0.2">
      <c r="A302" s="28"/>
      <c r="B302" s="29"/>
      <c r="C302" s="29"/>
      <c r="D302" s="48" t="str">
        <f>IFERROR(VLOOKUP(Tabela1[[#This Row],[Tag]],TAGS!$J$1:$K$9,2,0),"")</f>
        <v/>
      </c>
      <c r="E302" s="29"/>
      <c r="F302" s="30"/>
      <c r="G302" s="31"/>
      <c r="H302" s="31"/>
      <c r="I302" s="4" t="str">
        <f t="shared" si="8"/>
        <v/>
      </c>
      <c r="J302" s="5" t="str">
        <f>IF(Tabela1[[#This Row],[Caixa]]="Receita","Recebido",IF(G302="","",IF(H302="","",IF(H302&gt;G302,"Pago atrasado",IF(H302&lt;=G302,"Pago","Aguardando")))))</f>
        <v/>
      </c>
    </row>
    <row r="303" spans="1:10" ht="21" customHeight="1" x14ac:dyDescent="0.2">
      <c r="A303" s="28"/>
      <c r="B303" s="29"/>
      <c r="C303" s="29"/>
      <c r="D303" s="48" t="str">
        <f>IFERROR(VLOOKUP(Tabela1[[#This Row],[Tag]],TAGS!$J$1:$K$9,2,0),"")</f>
        <v/>
      </c>
      <c r="E303" s="29"/>
      <c r="F303" s="30"/>
      <c r="G303" s="31"/>
      <c r="H303" s="31"/>
      <c r="I303" s="4" t="str">
        <f t="shared" si="8"/>
        <v/>
      </c>
      <c r="J303" s="5" t="str">
        <f>IF(Tabela1[[#This Row],[Caixa]]="Receita","Recebido",IF(G303="","",IF(H303="","",IF(H303&gt;G303,"Pago atrasado",IF(H303&lt;=G303,"Pago","Aguardando")))))</f>
        <v/>
      </c>
    </row>
    <row r="304" spans="1:10" ht="21" customHeight="1" x14ac:dyDescent="0.2">
      <c r="A304" s="28"/>
      <c r="B304" s="29"/>
      <c r="C304" s="29"/>
      <c r="D304" s="48" t="str">
        <f>IFERROR(VLOOKUP(Tabela1[[#This Row],[Tag]],TAGS!$J$1:$K$9,2,0),"")</f>
        <v/>
      </c>
      <c r="E304" s="29"/>
      <c r="F304" s="30"/>
      <c r="G304" s="31"/>
      <c r="H304" s="31"/>
      <c r="I304" s="4" t="str">
        <f t="shared" si="8"/>
        <v/>
      </c>
      <c r="J304" s="5" t="str">
        <f>IF(Tabela1[[#This Row],[Caixa]]="Receita","Recebido",IF(G304="","",IF(H304="","",IF(H304&gt;G304,"Pago atrasado",IF(H304&lt;=G304,"Pago","Aguardando")))))</f>
        <v/>
      </c>
    </row>
    <row r="305" spans="1:10" ht="21" customHeight="1" x14ac:dyDescent="0.2">
      <c r="A305" s="28"/>
      <c r="B305" s="29"/>
      <c r="C305" s="29"/>
      <c r="D305" s="48" t="str">
        <f>IFERROR(VLOOKUP(Tabela1[[#This Row],[Tag]],TAGS!$J$1:$K$9,2,0),"")</f>
        <v/>
      </c>
      <c r="E305" s="29"/>
      <c r="F305" s="30"/>
      <c r="G305" s="31"/>
      <c r="H305" s="31"/>
      <c r="I305" s="4" t="str">
        <f t="shared" ref="I305:I368" si="9">IF(G305="","",TEXT(G305,"mmmm"))</f>
        <v/>
      </c>
      <c r="J305" s="5" t="str">
        <f>IF(Tabela1[[#This Row],[Caixa]]="Receita","Recebido",IF(G305="","",IF(H305="","",IF(H305&gt;G305,"Pago atrasado",IF(H305&lt;=G305,"Pago","Aguardando")))))</f>
        <v/>
      </c>
    </row>
    <row r="306" spans="1:10" ht="21" customHeight="1" x14ac:dyDescent="0.2">
      <c r="A306" s="28"/>
      <c r="B306" s="29"/>
      <c r="C306" s="29"/>
      <c r="D306" s="48" t="str">
        <f>IFERROR(VLOOKUP(Tabela1[[#This Row],[Tag]],TAGS!$J$1:$K$9,2,0),"")</f>
        <v/>
      </c>
      <c r="E306" s="29"/>
      <c r="F306" s="30"/>
      <c r="G306" s="31"/>
      <c r="H306" s="31"/>
      <c r="I306" s="4" t="str">
        <f t="shared" si="9"/>
        <v/>
      </c>
      <c r="J306" s="5" t="str">
        <f>IF(Tabela1[[#This Row],[Caixa]]="Receita","Recebido",IF(G306="","",IF(H306="","",IF(H306&gt;G306,"Pago atrasado",IF(H306&lt;=G306,"Pago","Aguardando")))))</f>
        <v/>
      </c>
    </row>
    <row r="307" spans="1:10" ht="21" customHeight="1" x14ac:dyDescent="0.2">
      <c r="A307" s="28"/>
      <c r="B307" s="29"/>
      <c r="C307" s="29"/>
      <c r="D307" s="48" t="str">
        <f>IFERROR(VLOOKUP(Tabela1[[#This Row],[Tag]],TAGS!$J$1:$K$9,2,0),"")</f>
        <v/>
      </c>
      <c r="E307" s="29"/>
      <c r="F307" s="30"/>
      <c r="G307" s="31"/>
      <c r="H307" s="31"/>
      <c r="I307" s="4" t="str">
        <f t="shared" si="9"/>
        <v/>
      </c>
      <c r="J307" s="5" t="str">
        <f>IF(Tabela1[[#This Row],[Caixa]]="Receita","Recebido",IF(G307="","",IF(H307="","",IF(H307&gt;G307,"Pago atrasado",IF(H307&lt;=G307,"Pago","Aguardando")))))</f>
        <v/>
      </c>
    </row>
    <row r="308" spans="1:10" ht="21" customHeight="1" x14ac:dyDescent="0.2">
      <c r="A308" s="28"/>
      <c r="B308" s="29"/>
      <c r="C308" s="29"/>
      <c r="D308" s="48" t="str">
        <f>IFERROR(VLOOKUP(Tabela1[[#This Row],[Tag]],TAGS!$J$1:$K$9,2,0),"")</f>
        <v/>
      </c>
      <c r="E308" s="29"/>
      <c r="F308" s="30"/>
      <c r="G308" s="31"/>
      <c r="H308" s="31"/>
      <c r="I308" s="4" t="str">
        <f t="shared" si="9"/>
        <v/>
      </c>
      <c r="J308" s="5" t="str">
        <f>IF(Tabela1[[#This Row],[Caixa]]="Receita","Recebido",IF(G308="","",IF(H308="","",IF(H308&gt;G308,"Pago atrasado",IF(H308&lt;=G308,"Pago","Aguardando")))))</f>
        <v/>
      </c>
    </row>
    <row r="309" spans="1:10" ht="21" customHeight="1" x14ac:dyDescent="0.2">
      <c r="A309" s="28"/>
      <c r="B309" s="29"/>
      <c r="C309" s="29"/>
      <c r="D309" s="48" t="str">
        <f>IFERROR(VLOOKUP(Tabela1[[#This Row],[Tag]],TAGS!$J$1:$K$9,2,0),"")</f>
        <v/>
      </c>
      <c r="E309" s="29"/>
      <c r="F309" s="30"/>
      <c r="G309" s="31"/>
      <c r="H309" s="31"/>
      <c r="I309" s="4" t="str">
        <f t="shared" si="9"/>
        <v/>
      </c>
      <c r="J309" s="5" t="str">
        <f>IF(Tabela1[[#This Row],[Caixa]]="Receita","Recebido",IF(G309="","",IF(H309="","",IF(H309&gt;G309,"Pago atrasado",IF(H309&lt;=G309,"Pago","Aguardando")))))</f>
        <v/>
      </c>
    </row>
    <row r="310" spans="1:10" ht="21" customHeight="1" x14ac:dyDescent="0.2">
      <c r="A310" s="28"/>
      <c r="B310" s="29"/>
      <c r="C310" s="29"/>
      <c r="D310" s="48" t="str">
        <f>IFERROR(VLOOKUP(Tabela1[[#This Row],[Tag]],TAGS!$J$1:$K$9,2,0),"")</f>
        <v/>
      </c>
      <c r="E310" s="29"/>
      <c r="F310" s="30"/>
      <c r="G310" s="31"/>
      <c r="H310" s="31"/>
      <c r="I310" s="4" t="str">
        <f t="shared" si="9"/>
        <v/>
      </c>
      <c r="J310" s="5" t="str">
        <f>IF(Tabela1[[#This Row],[Caixa]]="Receita","Recebido",IF(G310="","",IF(H310="","",IF(H310&gt;G310,"Pago atrasado",IF(H310&lt;=G310,"Pago","Aguardando")))))</f>
        <v/>
      </c>
    </row>
    <row r="311" spans="1:10" ht="21" customHeight="1" x14ac:dyDescent="0.2">
      <c r="A311" s="28"/>
      <c r="B311" s="29"/>
      <c r="C311" s="29"/>
      <c r="D311" s="48" t="str">
        <f>IFERROR(VLOOKUP(Tabela1[[#This Row],[Tag]],TAGS!$J$1:$K$9,2,0),"")</f>
        <v/>
      </c>
      <c r="E311" s="29"/>
      <c r="F311" s="30"/>
      <c r="G311" s="31"/>
      <c r="H311" s="31"/>
      <c r="I311" s="4" t="str">
        <f t="shared" si="9"/>
        <v/>
      </c>
      <c r="J311" s="5" t="str">
        <f>IF(Tabela1[[#This Row],[Caixa]]="Receita","Recebido",IF(G311="","",IF(H311="","",IF(H311&gt;G311,"Pago atrasado",IF(H311&lt;=G311,"Pago","Aguardando")))))</f>
        <v/>
      </c>
    </row>
    <row r="312" spans="1:10" ht="21" customHeight="1" x14ac:dyDescent="0.2">
      <c r="A312" s="28"/>
      <c r="B312" s="29"/>
      <c r="C312" s="29"/>
      <c r="D312" s="48" t="str">
        <f>IFERROR(VLOOKUP(Tabela1[[#This Row],[Tag]],TAGS!$J$1:$K$9,2,0),"")</f>
        <v/>
      </c>
      <c r="E312" s="29"/>
      <c r="F312" s="30"/>
      <c r="G312" s="31"/>
      <c r="H312" s="31"/>
      <c r="I312" s="4" t="str">
        <f t="shared" si="9"/>
        <v/>
      </c>
      <c r="J312" s="5" t="str">
        <f>IF(Tabela1[[#This Row],[Caixa]]="Receita","Recebido",IF(G312="","",IF(H312="","",IF(H312&gt;G312,"Pago atrasado",IF(H312&lt;=G312,"Pago","Aguardando")))))</f>
        <v/>
      </c>
    </row>
    <row r="313" spans="1:10" ht="21" customHeight="1" x14ac:dyDescent="0.2">
      <c r="A313" s="28"/>
      <c r="B313" s="29"/>
      <c r="C313" s="29"/>
      <c r="D313" s="48" t="str">
        <f>IFERROR(VLOOKUP(Tabela1[[#This Row],[Tag]],TAGS!$J$1:$K$9,2,0),"")</f>
        <v/>
      </c>
      <c r="E313" s="29"/>
      <c r="F313" s="30"/>
      <c r="G313" s="31"/>
      <c r="H313" s="31"/>
      <c r="I313" s="4" t="str">
        <f t="shared" si="9"/>
        <v/>
      </c>
      <c r="J313" s="5" t="str">
        <f>IF(Tabela1[[#This Row],[Caixa]]="Receita","Recebido",IF(G313="","",IF(H313="","",IF(H313&gt;G313,"Pago atrasado",IF(H313&lt;=G313,"Pago","Aguardando")))))</f>
        <v/>
      </c>
    </row>
    <row r="314" spans="1:10" ht="21" customHeight="1" x14ac:dyDescent="0.2">
      <c r="A314" s="28"/>
      <c r="B314" s="29"/>
      <c r="C314" s="29"/>
      <c r="D314" s="48" t="str">
        <f>IFERROR(VLOOKUP(Tabela1[[#This Row],[Tag]],TAGS!$J$1:$K$9,2,0),"")</f>
        <v/>
      </c>
      <c r="E314" s="29"/>
      <c r="F314" s="30"/>
      <c r="G314" s="31"/>
      <c r="H314" s="31"/>
      <c r="I314" s="4" t="str">
        <f t="shared" si="9"/>
        <v/>
      </c>
      <c r="J314" s="5" t="str">
        <f>IF(Tabela1[[#This Row],[Caixa]]="Receita","Recebido",IF(G314="","",IF(H314="","",IF(H314&gt;G314,"Pago atrasado",IF(H314&lt;=G314,"Pago","Aguardando")))))</f>
        <v/>
      </c>
    </row>
    <row r="315" spans="1:10" ht="21" customHeight="1" x14ac:dyDescent="0.2">
      <c r="A315" s="28"/>
      <c r="B315" s="29"/>
      <c r="C315" s="29"/>
      <c r="D315" s="48" t="str">
        <f>IFERROR(VLOOKUP(Tabela1[[#This Row],[Tag]],TAGS!$J$1:$K$9,2,0),"")</f>
        <v/>
      </c>
      <c r="E315" s="29"/>
      <c r="F315" s="30"/>
      <c r="G315" s="31"/>
      <c r="H315" s="31"/>
      <c r="I315" s="4" t="str">
        <f t="shared" si="9"/>
        <v/>
      </c>
      <c r="J315" s="5" t="str">
        <f>IF(Tabela1[[#This Row],[Caixa]]="Receita","Recebido",IF(G315="","",IF(H315="","",IF(H315&gt;G315,"Pago atrasado",IF(H315&lt;=G315,"Pago","Aguardando")))))</f>
        <v/>
      </c>
    </row>
    <row r="316" spans="1:10" ht="21" customHeight="1" x14ac:dyDescent="0.2">
      <c r="A316" s="28"/>
      <c r="B316" s="29"/>
      <c r="C316" s="29"/>
      <c r="D316" s="48" t="str">
        <f>IFERROR(VLOOKUP(Tabela1[[#This Row],[Tag]],TAGS!$J$1:$K$9,2,0),"")</f>
        <v/>
      </c>
      <c r="E316" s="29"/>
      <c r="F316" s="30"/>
      <c r="G316" s="31"/>
      <c r="H316" s="31"/>
      <c r="I316" s="4" t="str">
        <f t="shared" si="9"/>
        <v/>
      </c>
      <c r="J316" s="5" t="str">
        <f>IF(Tabela1[[#This Row],[Caixa]]="Receita","Recebido",IF(G316="","",IF(H316="","",IF(H316&gt;G316,"Pago atrasado",IF(H316&lt;=G316,"Pago","Aguardando")))))</f>
        <v/>
      </c>
    </row>
    <row r="317" spans="1:10" ht="21" customHeight="1" x14ac:dyDescent="0.2">
      <c r="A317" s="28"/>
      <c r="B317" s="29"/>
      <c r="C317" s="29"/>
      <c r="D317" s="48" t="str">
        <f>IFERROR(VLOOKUP(Tabela1[[#This Row],[Tag]],TAGS!$J$1:$K$9,2,0),"")</f>
        <v/>
      </c>
      <c r="E317" s="29"/>
      <c r="F317" s="30"/>
      <c r="G317" s="31"/>
      <c r="H317" s="31"/>
      <c r="I317" s="4" t="str">
        <f t="shared" si="9"/>
        <v/>
      </c>
      <c r="J317" s="5" t="str">
        <f>IF(Tabela1[[#This Row],[Caixa]]="Receita","Recebido",IF(G317="","",IF(H317="","",IF(H317&gt;G317,"Pago atrasado",IF(H317&lt;=G317,"Pago","Aguardando")))))</f>
        <v/>
      </c>
    </row>
    <row r="318" spans="1:10" ht="21" customHeight="1" x14ac:dyDescent="0.2">
      <c r="A318" s="28"/>
      <c r="B318" s="29"/>
      <c r="C318" s="29"/>
      <c r="D318" s="48" t="str">
        <f>IFERROR(VLOOKUP(Tabela1[[#This Row],[Tag]],TAGS!$J$1:$K$9,2,0),"")</f>
        <v/>
      </c>
      <c r="E318" s="29"/>
      <c r="F318" s="30"/>
      <c r="G318" s="31"/>
      <c r="H318" s="31"/>
      <c r="I318" s="4" t="str">
        <f t="shared" si="9"/>
        <v/>
      </c>
      <c r="J318" s="5" t="str">
        <f>IF(Tabela1[[#This Row],[Caixa]]="Receita","Recebido",IF(G318="","",IF(H318="","",IF(H318&gt;G318,"Pago atrasado",IF(H318&lt;=G318,"Pago","Aguardando")))))</f>
        <v/>
      </c>
    </row>
    <row r="319" spans="1:10" ht="21" customHeight="1" x14ac:dyDescent="0.2">
      <c r="A319" s="28"/>
      <c r="B319" s="29"/>
      <c r="C319" s="29"/>
      <c r="D319" s="48" t="str">
        <f>IFERROR(VLOOKUP(Tabela1[[#This Row],[Tag]],TAGS!$J$1:$K$9,2,0),"")</f>
        <v/>
      </c>
      <c r="E319" s="29"/>
      <c r="F319" s="30"/>
      <c r="G319" s="31"/>
      <c r="H319" s="31"/>
      <c r="I319" s="4" t="str">
        <f t="shared" si="9"/>
        <v/>
      </c>
      <c r="J319" s="5" t="str">
        <f>IF(Tabela1[[#This Row],[Caixa]]="Receita","Recebido",IF(G319="","",IF(H319="","",IF(H319&gt;G319,"Pago atrasado",IF(H319&lt;=G319,"Pago","Aguardando")))))</f>
        <v/>
      </c>
    </row>
    <row r="320" spans="1:10" ht="21" customHeight="1" x14ac:dyDescent="0.2">
      <c r="A320" s="28"/>
      <c r="B320" s="29"/>
      <c r="C320" s="29"/>
      <c r="D320" s="48" t="str">
        <f>IFERROR(VLOOKUP(Tabela1[[#This Row],[Tag]],TAGS!$J$1:$K$9,2,0),"")</f>
        <v/>
      </c>
      <c r="E320" s="29"/>
      <c r="F320" s="30"/>
      <c r="G320" s="31"/>
      <c r="H320" s="31"/>
      <c r="I320" s="4" t="str">
        <f t="shared" si="9"/>
        <v/>
      </c>
      <c r="J320" s="5" t="str">
        <f>IF(Tabela1[[#This Row],[Caixa]]="Receita","Recebido",IF(G320="","",IF(H320="","",IF(H320&gt;G320,"Pago atrasado",IF(H320&lt;=G320,"Pago","Aguardando")))))</f>
        <v/>
      </c>
    </row>
    <row r="321" spans="1:10" ht="21" customHeight="1" x14ac:dyDescent="0.2">
      <c r="A321" s="28"/>
      <c r="B321" s="29"/>
      <c r="C321" s="29"/>
      <c r="D321" s="48" t="str">
        <f>IFERROR(VLOOKUP(Tabela1[[#This Row],[Tag]],TAGS!$J$1:$K$9,2,0),"")</f>
        <v/>
      </c>
      <c r="E321" s="29"/>
      <c r="F321" s="30"/>
      <c r="G321" s="31"/>
      <c r="H321" s="31"/>
      <c r="I321" s="4" t="str">
        <f t="shared" si="9"/>
        <v/>
      </c>
      <c r="J321" s="5" t="str">
        <f>IF(Tabela1[[#This Row],[Caixa]]="Receita","Recebido",IF(G321="","",IF(H321="","",IF(H321&gt;G321,"Pago atrasado",IF(H321&lt;=G321,"Pago","Aguardando")))))</f>
        <v/>
      </c>
    </row>
    <row r="322" spans="1:10" ht="21" customHeight="1" x14ac:dyDescent="0.2">
      <c r="A322" s="28"/>
      <c r="B322" s="29"/>
      <c r="C322" s="29"/>
      <c r="D322" s="48" t="str">
        <f>IFERROR(VLOOKUP(Tabela1[[#This Row],[Tag]],TAGS!$J$1:$K$9,2,0),"")</f>
        <v/>
      </c>
      <c r="E322" s="29"/>
      <c r="F322" s="30"/>
      <c r="G322" s="31"/>
      <c r="H322" s="31"/>
      <c r="I322" s="4" t="str">
        <f t="shared" si="9"/>
        <v/>
      </c>
      <c r="J322" s="5" t="str">
        <f>IF(Tabela1[[#This Row],[Caixa]]="Receita","Recebido",IF(G322="","",IF(H322="","",IF(H322&gt;G322,"Pago atrasado",IF(H322&lt;=G322,"Pago","Aguardando")))))</f>
        <v/>
      </c>
    </row>
    <row r="323" spans="1:10" ht="21" customHeight="1" x14ac:dyDescent="0.2">
      <c r="A323" s="28"/>
      <c r="B323" s="29"/>
      <c r="C323" s="29"/>
      <c r="D323" s="48" t="str">
        <f>IFERROR(VLOOKUP(Tabela1[[#This Row],[Tag]],TAGS!$J$1:$K$9,2,0),"")</f>
        <v/>
      </c>
      <c r="E323" s="29"/>
      <c r="F323" s="30"/>
      <c r="G323" s="31"/>
      <c r="H323" s="31"/>
      <c r="I323" s="4" t="str">
        <f t="shared" si="9"/>
        <v/>
      </c>
      <c r="J323" s="5" t="str">
        <f>IF(Tabela1[[#This Row],[Caixa]]="Receita","Recebido",IF(G323="","",IF(H323="","",IF(H323&gt;G323,"Pago atrasado",IF(H323&lt;=G323,"Pago","Aguardando")))))</f>
        <v/>
      </c>
    </row>
    <row r="324" spans="1:10" ht="21" customHeight="1" x14ac:dyDescent="0.2">
      <c r="A324" s="28"/>
      <c r="B324" s="29"/>
      <c r="C324" s="29"/>
      <c r="D324" s="48" t="str">
        <f>IFERROR(VLOOKUP(Tabela1[[#This Row],[Tag]],TAGS!$J$1:$K$9,2,0),"")</f>
        <v/>
      </c>
      <c r="E324" s="29"/>
      <c r="F324" s="30"/>
      <c r="G324" s="31"/>
      <c r="H324" s="31"/>
      <c r="I324" s="4" t="str">
        <f t="shared" si="9"/>
        <v/>
      </c>
      <c r="J324" s="5" t="str">
        <f>IF(Tabela1[[#This Row],[Caixa]]="Receita","Recebido",IF(G324="","",IF(H324="","",IF(H324&gt;G324,"Pago atrasado",IF(H324&lt;=G324,"Pago","Aguardando")))))</f>
        <v/>
      </c>
    </row>
    <row r="325" spans="1:10" ht="21" customHeight="1" x14ac:dyDescent="0.2">
      <c r="A325" s="28"/>
      <c r="B325" s="29"/>
      <c r="C325" s="29"/>
      <c r="D325" s="48" t="str">
        <f>IFERROR(VLOOKUP(Tabela1[[#This Row],[Tag]],TAGS!$J$1:$K$9,2,0),"")</f>
        <v/>
      </c>
      <c r="E325" s="29"/>
      <c r="F325" s="30"/>
      <c r="G325" s="31"/>
      <c r="H325" s="31"/>
      <c r="I325" s="4" t="str">
        <f t="shared" si="9"/>
        <v/>
      </c>
      <c r="J325" s="5" t="str">
        <f>IF(Tabela1[[#This Row],[Caixa]]="Receita","Recebido",IF(G325="","",IF(H325="","",IF(H325&gt;G325,"Pago atrasado",IF(H325&lt;=G325,"Pago","Aguardando")))))</f>
        <v/>
      </c>
    </row>
    <row r="326" spans="1:10" ht="21" customHeight="1" x14ac:dyDescent="0.2">
      <c r="A326" s="28"/>
      <c r="B326" s="29"/>
      <c r="C326" s="29"/>
      <c r="D326" s="48" t="str">
        <f>IFERROR(VLOOKUP(Tabela1[[#This Row],[Tag]],TAGS!$J$1:$K$9,2,0),"")</f>
        <v/>
      </c>
      <c r="E326" s="29"/>
      <c r="F326" s="30"/>
      <c r="G326" s="31"/>
      <c r="H326" s="31"/>
      <c r="I326" s="4" t="str">
        <f t="shared" si="9"/>
        <v/>
      </c>
      <c r="J326" s="5" t="str">
        <f>IF(Tabela1[[#This Row],[Caixa]]="Receita","Recebido",IF(G326="","",IF(H326="","",IF(H326&gt;G326,"Pago atrasado",IF(H326&lt;=G326,"Pago","Aguardando")))))</f>
        <v/>
      </c>
    </row>
    <row r="327" spans="1:10" ht="21" customHeight="1" x14ac:dyDescent="0.2">
      <c r="A327" s="28"/>
      <c r="B327" s="29"/>
      <c r="C327" s="29"/>
      <c r="D327" s="48" t="str">
        <f>IFERROR(VLOOKUP(Tabela1[[#This Row],[Tag]],TAGS!$J$1:$K$9,2,0),"")</f>
        <v/>
      </c>
      <c r="E327" s="29"/>
      <c r="F327" s="30"/>
      <c r="G327" s="31"/>
      <c r="H327" s="31"/>
      <c r="I327" s="4" t="str">
        <f t="shared" si="9"/>
        <v/>
      </c>
      <c r="J327" s="5" t="str">
        <f>IF(Tabela1[[#This Row],[Caixa]]="Receita","Recebido",IF(G327="","",IF(H327="","",IF(H327&gt;G327,"Pago atrasado",IF(H327&lt;=G327,"Pago","Aguardando")))))</f>
        <v/>
      </c>
    </row>
    <row r="328" spans="1:10" ht="21" customHeight="1" x14ac:dyDescent="0.2">
      <c r="A328" s="28"/>
      <c r="B328" s="29"/>
      <c r="C328" s="29"/>
      <c r="D328" s="48" t="str">
        <f>IFERROR(VLOOKUP(Tabela1[[#This Row],[Tag]],TAGS!$J$1:$K$9,2,0),"")</f>
        <v/>
      </c>
      <c r="E328" s="29"/>
      <c r="F328" s="30"/>
      <c r="G328" s="31"/>
      <c r="H328" s="31"/>
      <c r="I328" s="4" t="str">
        <f t="shared" si="9"/>
        <v/>
      </c>
      <c r="J328" s="5" t="str">
        <f>IF(Tabela1[[#This Row],[Caixa]]="Receita","Recebido",IF(G328="","",IF(H328="","",IF(H328&gt;G328,"Pago atrasado",IF(H328&lt;=G328,"Pago","Aguardando")))))</f>
        <v/>
      </c>
    </row>
    <row r="329" spans="1:10" ht="21" customHeight="1" x14ac:dyDescent="0.2">
      <c r="A329" s="28"/>
      <c r="B329" s="29"/>
      <c r="C329" s="29"/>
      <c r="D329" s="48" t="str">
        <f>IFERROR(VLOOKUP(Tabela1[[#This Row],[Tag]],TAGS!$J$1:$K$9,2,0),"")</f>
        <v/>
      </c>
      <c r="E329" s="29"/>
      <c r="F329" s="30"/>
      <c r="G329" s="31"/>
      <c r="H329" s="31"/>
      <c r="I329" s="4" t="str">
        <f t="shared" si="9"/>
        <v/>
      </c>
      <c r="J329" s="5" t="str">
        <f>IF(Tabela1[[#This Row],[Caixa]]="Receita","Recebido",IF(G329="","",IF(H329="","",IF(H329&gt;G329,"Pago atrasado",IF(H329&lt;=G329,"Pago","Aguardando")))))</f>
        <v/>
      </c>
    </row>
    <row r="330" spans="1:10" ht="21" customHeight="1" x14ac:dyDescent="0.2">
      <c r="A330" s="28"/>
      <c r="B330" s="29"/>
      <c r="C330" s="29"/>
      <c r="D330" s="48" t="str">
        <f>IFERROR(VLOOKUP(Tabela1[[#This Row],[Tag]],TAGS!$J$1:$K$9,2,0),"")</f>
        <v/>
      </c>
      <c r="E330" s="29"/>
      <c r="F330" s="30"/>
      <c r="G330" s="31"/>
      <c r="H330" s="31"/>
      <c r="I330" s="4" t="str">
        <f t="shared" si="9"/>
        <v/>
      </c>
      <c r="J330" s="5" t="str">
        <f>IF(Tabela1[[#This Row],[Caixa]]="Receita","Recebido",IF(G330="","",IF(H330="","",IF(H330&gt;G330,"Pago atrasado",IF(H330&lt;=G330,"Pago","Aguardando")))))</f>
        <v/>
      </c>
    </row>
    <row r="331" spans="1:10" ht="21" customHeight="1" x14ac:dyDescent="0.2">
      <c r="A331" s="28"/>
      <c r="B331" s="29"/>
      <c r="C331" s="29"/>
      <c r="D331" s="48" t="str">
        <f>IFERROR(VLOOKUP(Tabela1[[#This Row],[Tag]],TAGS!$J$1:$K$9,2,0),"")</f>
        <v/>
      </c>
      <c r="E331" s="29"/>
      <c r="F331" s="30"/>
      <c r="G331" s="31"/>
      <c r="H331" s="31"/>
      <c r="I331" s="4" t="str">
        <f t="shared" si="9"/>
        <v/>
      </c>
      <c r="J331" s="5" t="str">
        <f>IF(Tabela1[[#This Row],[Caixa]]="Receita","Recebido",IF(G331="","",IF(H331="","",IF(H331&gt;G331,"Pago atrasado",IF(H331&lt;=G331,"Pago","Aguardando")))))</f>
        <v/>
      </c>
    </row>
    <row r="332" spans="1:10" ht="21" customHeight="1" x14ac:dyDescent="0.2">
      <c r="A332" s="28"/>
      <c r="B332" s="29"/>
      <c r="C332" s="29"/>
      <c r="D332" s="48" t="str">
        <f>IFERROR(VLOOKUP(Tabela1[[#This Row],[Tag]],TAGS!$J$1:$K$9,2,0),"")</f>
        <v/>
      </c>
      <c r="E332" s="29"/>
      <c r="F332" s="30"/>
      <c r="G332" s="31"/>
      <c r="H332" s="31"/>
      <c r="I332" s="4" t="str">
        <f t="shared" si="9"/>
        <v/>
      </c>
      <c r="J332" s="5" t="str">
        <f>IF(Tabela1[[#This Row],[Caixa]]="Receita","Recebido",IF(G332="","",IF(H332="","",IF(H332&gt;G332,"Pago atrasado",IF(H332&lt;=G332,"Pago","Aguardando")))))</f>
        <v/>
      </c>
    </row>
    <row r="333" spans="1:10" ht="21" customHeight="1" x14ac:dyDescent="0.2">
      <c r="A333" s="28"/>
      <c r="B333" s="29"/>
      <c r="C333" s="29"/>
      <c r="D333" s="48" t="str">
        <f>IFERROR(VLOOKUP(Tabela1[[#This Row],[Tag]],TAGS!$J$1:$K$9,2,0),"")</f>
        <v/>
      </c>
      <c r="E333" s="29"/>
      <c r="F333" s="30"/>
      <c r="G333" s="31"/>
      <c r="H333" s="31"/>
      <c r="I333" s="4" t="str">
        <f t="shared" si="9"/>
        <v/>
      </c>
      <c r="J333" s="5" t="str">
        <f>IF(Tabela1[[#This Row],[Caixa]]="Receita","Recebido",IF(G333="","",IF(H333="","",IF(H333&gt;G333,"Pago atrasado",IF(H333&lt;=G333,"Pago","Aguardando")))))</f>
        <v/>
      </c>
    </row>
    <row r="334" spans="1:10" ht="21" customHeight="1" x14ac:dyDescent="0.2">
      <c r="A334" s="28"/>
      <c r="B334" s="29"/>
      <c r="C334" s="29"/>
      <c r="D334" s="48" t="str">
        <f>IFERROR(VLOOKUP(Tabela1[[#This Row],[Tag]],TAGS!$J$1:$K$9,2,0),"")</f>
        <v/>
      </c>
      <c r="E334" s="29"/>
      <c r="F334" s="30"/>
      <c r="G334" s="31"/>
      <c r="H334" s="31"/>
      <c r="I334" s="4" t="str">
        <f t="shared" si="9"/>
        <v/>
      </c>
      <c r="J334" s="5" t="str">
        <f>IF(Tabela1[[#This Row],[Caixa]]="Receita","Recebido",IF(G334="","",IF(H334="","",IF(H334&gt;G334,"Pago atrasado",IF(H334&lt;=G334,"Pago","Aguardando")))))</f>
        <v/>
      </c>
    </row>
    <row r="335" spans="1:10" ht="21" customHeight="1" x14ac:dyDescent="0.2">
      <c r="A335" s="28"/>
      <c r="B335" s="29"/>
      <c r="C335" s="29"/>
      <c r="D335" s="48" t="str">
        <f>IFERROR(VLOOKUP(Tabela1[[#This Row],[Tag]],TAGS!$J$1:$K$9,2,0),"")</f>
        <v/>
      </c>
      <c r="E335" s="29"/>
      <c r="F335" s="30"/>
      <c r="G335" s="31"/>
      <c r="H335" s="31"/>
      <c r="I335" s="4" t="str">
        <f t="shared" si="9"/>
        <v/>
      </c>
      <c r="J335" s="5" t="str">
        <f>IF(Tabela1[[#This Row],[Caixa]]="Receita","Recebido",IF(G335="","",IF(H335="","",IF(H335&gt;G335,"Pago atrasado",IF(H335&lt;=G335,"Pago","Aguardando")))))</f>
        <v/>
      </c>
    </row>
    <row r="336" spans="1:10" ht="21" customHeight="1" x14ac:dyDescent="0.2">
      <c r="A336" s="28"/>
      <c r="B336" s="29"/>
      <c r="C336" s="29"/>
      <c r="D336" s="48" t="str">
        <f>IFERROR(VLOOKUP(Tabela1[[#This Row],[Tag]],TAGS!$J$1:$K$9,2,0),"")</f>
        <v/>
      </c>
      <c r="E336" s="29"/>
      <c r="F336" s="30"/>
      <c r="G336" s="31"/>
      <c r="H336" s="31"/>
      <c r="I336" s="4" t="str">
        <f t="shared" si="9"/>
        <v/>
      </c>
      <c r="J336" s="5" t="str">
        <f>IF(Tabela1[[#This Row],[Caixa]]="Receita","Recebido",IF(G336="","",IF(H336="","",IF(H336&gt;G336,"Pago atrasado",IF(H336&lt;=G336,"Pago","Aguardando")))))</f>
        <v/>
      </c>
    </row>
    <row r="337" spans="1:10" ht="21" customHeight="1" x14ac:dyDescent="0.2">
      <c r="A337" s="28"/>
      <c r="B337" s="29"/>
      <c r="C337" s="29"/>
      <c r="D337" s="48" t="str">
        <f>IFERROR(VLOOKUP(Tabela1[[#This Row],[Tag]],TAGS!$J$1:$K$9,2,0),"")</f>
        <v/>
      </c>
      <c r="E337" s="29"/>
      <c r="F337" s="30"/>
      <c r="G337" s="31"/>
      <c r="H337" s="31"/>
      <c r="I337" s="4" t="str">
        <f t="shared" si="9"/>
        <v/>
      </c>
      <c r="J337" s="5" t="str">
        <f>IF(Tabela1[[#This Row],[Caixa]]="Receita","Recebido",IF(G337="","",IF(H337="","",IF(H337&gt;G337,"Pago atrasado",IF(H337&lt;=G337,"Pago","Aguardando")))))</f>
        <v/>
      </c>
    </row>
    <row r="338" spans="1:10" ht="21" customHeight="1" x14ac:dyDescent="0.2">
      <c r="A338" s="28"/>
      <c r="B338" s="29"/>
      <c r="C338" s="29"/>
      <c r="D338" s="48" t="str">
        <f>IFERROR(VLOOKUP(Tabela1[[#This Row],[Tag]],TAGS!$J$1:$K$9,2,0),"")</f>
        <v/>
      </c>
      <c r="E338" s="29"/>
      <c r="F338" s="30"/>
      <c r="G338" s="31"/>
      <c r="H338" s="31"/>
      <c r="I338" s="4" t="str">
        <f t="shared" si="9"/>
        <v/>
      </c>
      <c r="J338" s="5" t="str">
        <f>IF(Tabela1[[#This Row],[Caixa]]="Receita","Recebido",IF(G338="","",IF(H338="","",IF(H338&gt;G338,"Pago atrasado",IF(H338&lt;=G338,"Pago","Aguardando")))))</f>
        <v/>
      </c>
    </row>
    <row r="339" spans="1:10" ht="21" customHeight="1" x14ac:dyDescent="0.2">
      <c r="A339" s="28"/>
      <c r="B339" s="29"/>
      <c r="C339" s="29"/>
      <c r="D339" s="48" t="str">
        <f>IFERROR(VLOOKUP(Tabela1[[#This Row],[Tag]],TAGS!$J$1:$K$9,2,0),"")</f>
        <v/>
      </c>
      <c r="E339" s="29"/>
      <c r="F339" s="30"/>
      <c r="G339" s="31"/>
      <c r="H339" s="31"/>
      <c r="I339" s="4" t="str">
        <f t="shared" si="9"/>
        <v/>
      </c>
      <c r="J339" s="5" t="str">
        <f>IF(Tabela1[[#This Row],[Caixa]]="Receita","Recebido",IF(G339="","",IF(H339="","",IF(H339&gt;G339,"Pago atrasado",IF(H339&lt;=G339,"Pago","Aguardando")))))</f>
        <v/>
      </c>
    </row>
    <row r="340" spans="1:10" ht="21" customHeight="1" x14ac:dyDescent="0.2">
      <c r="A340" s="28"/>
      <c r="B340" s="29"/>
      <c r="C340" s="29"/>
      <c r="D340" s="48" t="str">
        <f>IFERROR(VLOOKUP(Tabela1[[#This Row],[Tag]],TAGS!$J$1:$K$9,2,0),"")</f>
        <v/>
      </c>
      <c r="E340" s="29"/>
      <c r="F340" s="30"/>
      <c r="G340" s="31"/>
      <c r="H340" s="31"/>
      <c r="I340" s="4" t="str">
        <f t="shared" si="9"/>
        <v/>
      </c>
      <c r="J340" s="5" t="str">
        <f>IF(Tabela1[[#This Row],[Caixa]]="Receita","Recebido",IF(G340="","",IF(H340="","",IF(H340&gt;G340,"Pago atrasado",IF(H340&lt;=G340,"Pago","Aguardando")))))</f>
        <v/>
      </c>
    </row>
    <row r="341" spans="1:10" ht="21" customHeight="1" x14ac:dyDescent="0.2">
      <c r="A341" s="28"/>
      <c r="B341" s="29"/>
      <c r="C341" s="29"/>
      <c r="D341" s="48" t="str">
        <f>IFERROR(VLOOKUP(Tabela1[[#This Row],[Tag]],TAGS!$J$1:$K$9,2,0),"")</f>
        <v/>
      </c>
      <c r="E341" s="29"/>
      <c r="F341" s="30"/>
      <c r="G341" s="31"/>
      <c r="H341" s="31"/>
      <c r="I341" s="4" t="str">
        <f t="shared" si="9"/>
        <v/>
      </c>
      <c r="J341" s="5" t="str">
        <f>IF(Tabela1[[#This Row],[Caixa]]="Receita","Recebido",IF(G341="","",IF(H341="","",IF(H341&gt;G341,"Pago atrasado",IF(H341&lt;=G341,"Pago","Aguardando")))))</f>
        <v/>
      </c>
    </row>
    <row r="342" spans="1:10" ht="21" customHeight="1" x14ac:dyDescent="0.2">
      <c r="A342" s="28"/>
      <c r="B342" s="29"/>
      <c r="C342" s="29"/>
      <c r="D342" s="48" t="str">
        <f>IFERROR(VLOOKUP(Tabela1[[#This Row],[Tag]],TAGS!$J$1:$K$9,2,0),"")</f>
        <v/>
      </c>
      <c r="E342" s="29"/>
      <c r="F342" s="30"/>
      <c r="G342" s="31"/>
      <c r="H342" s="31"/>
      <c r="I342" s="4" t="str">
        <f t="shared" si="9"/>
        <v/>
      </c>
      <c r="J342" s="5" t="str">
        <f>IF(Tabela1[[#This Row],[Caixa]]="Receita","Recebido",IF(G342="","",IF(H342="","",IF(H342&gt;G342,"Pago atrasado",IF(H342&lt;=G342,"Pago","Aguardando")))))</f>
        <v/>
      </c>
    </row>
    <row r="343" spans="1:10" ht="21" customHeight="1" x14ac:dyDescent="0.2">
      <c r="A343" s="28"/>
      <c r="B343" s="29"/>
      <c r="C343" s="29"/>
      <c r="D343" s="48" t="str">
        <f>IFERROR(VLOOKUP(Tabela1[[#This Row],[Tag]],TAGS!$J$1:$K$9,2,0),"")</f>
        <v/>
      </c>
      <c r="E343" s="29"/>
      <c r="F343" s="30"/>
      <c r="G343" s="31"/>
      <c r="H343" s="31"/>
      <c r="I343" s="4" t="str">
        <f t="shared" si="9"/>
        <v/>
      </c>
      <c r="J343" s="5" t="str">
        <f>IF(Tabela1[[#This Row],[Caixa]]="Receita","Recebido",IF(G343="","",IF(H343="","",IF(H343&gt;G343,"Pago atrasado",IF(H343&lt;=G343,"Pago","Aguardando")))))</f>
        <v/>
      </c>
    </row>
    <row r="344" spans="1:10" ht="21" customHeight="1" x14ac:dyDescent="0.2">
      <c r="A344" s="28"/>
      <c r="B344" s="29"/>
      <c r="C344" s="29"/>
      <c r="D344" s="48" t="str">
        <f>IFERROR(VLOOKUP(Tabela1[[#This Row],[Tag]],TAGS!$J$1:$K$9,2,0),"")</f>
        <v/>
      </c>
      <c r="E344" s="29"/>
      <c r="F344" s="30"/>
      <c r="G344" s="31"/>
      <c r="H344" s="31"/>
      <c r="I344" s="4" t="str">
        <f t="shared" si="9"/>
        <v/>
      </c>
      <c r="J344" s="5" t="str">
        <f>IF(Tabela1[[#This Row],[Caixa]]="Receita","Recebido",IF(G344="","",IF(H344="","",IF(H344&gt;G344,"Pago atrasado",IF(H344&lt;=G344,"Pago","Aguardando")))))</f>
        <v/>
      </c>
    </row>
    <row r="345" spans="1:10" ht="21" customHeight="1" x14ac:dyDescent="0.2">
      <c r="A345" s="28"/>
      <c r="B345" s="29"/>
      <c r="C345" s="29"/>
      <c r="D345" s="48" t="str">
        <f>IFERROR(VLOOKUP(Tabela1[[#This Row],[Tag]],TAGS!$J$1:$K$9,2,0),"")</f>
        <v/>
      </c>
      <c r="E345" s="29"/>
      <c r="F345" s="30"/>
      <c r="G345" s="31"/>
      <c r="H345" s="31"/>
      <c r="I345" s="4" t="str">
        <f t="shared" si="9"/>
        <v/>
      </c>
      <c r="J345" s="5" t="str">
        <f>IF(Tabela1[[#This Row],[Caixa]]="Receita","Recebido",IF(G345="","",IF(H345="","",IF(H345&gt;G345,"Pago atrasado",IF(H345&lt;=G345,"Pago","Aguardando")))))</f>
        <v/>
      </c>
    </row>
    <row r="346" spans="1:10" ht="21" customHeight="1" x14ac:dyDescent="0.2">
      <c r="A346" s="28"/>
      <c r="B346" s="29"/>
      <c r="C346" s="29"/>
      <c r="D346" s="48" t="str">
        <f>IFERROR(VLOOKUP(Tabela1[[#This Row],[Tag]],TAGS!$J$1:$K$9,2,0),"")</f>
        <v/>
      </c>
      <c r="E346" s="29"/>
      <c r="F346" s="30"/>
      <c r="G346" s="31"/>
      <c r="H346" s="31"/>
      <c r="I346" s="4" t="str">
        <f t="shared" si="9"/>
        <v/>
      </c>
      <c r="J346" s="5" t="str">
        <f>IF(Tabela1[[#This Row],[Caixa]]="Receita","Recebido",IF(G346="","",IF(H346="","",IF(H346&gt;G346,"Pago atrasado",IF(H346&lt;=G346,"Pago","Aguardando")))))</f>
        <v/>
      </c>
    </row>
    <row r="347" spans="1:10" ht="21" customHeight="1" x14ac:dyDescent="0.2">
      <c r="A347" s="28"/>
      <c r="B347" s="29"/>
      <c r="C347" s="29"/>
      <c r="D347" s="48" t="str">
        <f>IFERROR(VLOOKUP(Tabela1[[#This Row],[Tag]],TAGS!$J$1:$K$9,2,0),"")</f>
        <v/>
      </c>
      <c r="E347" s="29"/>
      <c r="F347" s="30"/>
      <c r="G347" s="31"/>
      <c r="H347" s="31"/>
      <c r="I347" s="4" t="str">
        <f t="shared" si="9"/>
        <v/>
      </c>
      <c r="J347" s="5" t="str">
        <f>IF(Tabela1[[#This Row],[Caixa]]="Receita","Recebido",IF(G347="","",IF(H347="","",IF(H347&gt;G347,"Pago atrasado",IF(H347&lt;=G347,"Pago","Aguardando")))))</f>
        <v/>
      </c>
    </row>
    <row r="348" spans="1:10" ht="21" customHeight="1" x14ac:dyDescent="0.2">
      <c r="A348" s="28"/>
      <c r="B348" s="29"/>
      <c r="C348" s="29"/>
      <c r="D348" s="48" t="str">
        <f>IFERROR(VLOOKUP(Tabela1[[#This Row],[Tag]],TAGS!$J$1:$K$9,2,0),"")</f>
        <v/>
      </c>
      <c r="E348" s="29"/>
      <c r="F348" s="30"/>
      <c r="G348" s="31"/>
      <c r="H348" s="31"/>
      <c r="I348" s="4" t="str">
        <f t="shared" si="9"/>
        <v/>
      </c>
      <c r="J348" s="5" t="str">
        <f>IF(Tabela1[[#This Row],[Caixa]]="Receita","Recebido",IF(G348="","",IF(H348="","",IF(H348&gt;G348,"Pago atrasado",IF(H348&lt;=G348,"Pago","Aguardando")))))</f>
        <v/>
      </c>
    </row>
    <row r="349" spans="1:10" ht="21" customHeight="1" x14ac:dyDescent="0.2">
      <c r="A349" s="28"/>
      <c r="B349" s="29"/>
      <c r="C349" s="29"/>
      <c r="D349" s="48" t="str">
        <f>IFERROR(VLOOKUP(Tabela1[[#This Row],[Tag]],TAGS!$J$1:$K$9,2,0),"")</f>
        <v/>
      </c>
      <c r="E349" s="29"/>
      <c r="F349" s="30"/>
      <c r="G349" s="31"/>
      <c r="H349" s="31"/>
      <c r="I349" s="4" t="str">
        <f t="shared" si="9"/>
        <v/>
      </c>
      <c r="J349" s="5" t="str">
        <f>IF(Tabela1[[#This Row],[Caixa]]="Receita","Recebido",IF(G349="","",IF(H349="","",IF(H349&gt;G349,"Pago atrasado",IF(H349&lt;=G349,"Pago","Aguardando")))))</f>
        <v/>
      </c>
    </row>
    <row r="350" spans="1:10" ht="21" customHeight="1" x14ac:dyDescent="0.2">
      <c r="A350" s="28"/>
      <c r="B350" s="29"/>
      <c r="C350" s="29"/>
      <c r="D350" s="48" t="str">
        <f>IFERROR(VLOOKUP(Tabela1[[#This Row],[Tag]],TAGS!$J$1:$K$9,2,0),"")</f>
        <v/>
      </c>
      <c r="E350" s="29"/>
      <c r="F350" s="30"/>
      <c r="G350" s="31"/>
      <c r="H350" s="31"/>
      <c r="I350" s="4" t="str">
        <f t="shared" si="9"/>
        <v/>
      </c>
      <c r="J350" s="5" t="str">
        <f>IF(Tabela1[[#This Row],[Caixa]]="Receita","Recebido",IF(G350="","",IF(H350="","",IF(H350&gt;G350,"Pago atrasado",IF(H350&lt;=G350,"Pago","Aguardando")))))</f>
        <v/>
      </c>
    </row>
    <row r="351" spans="1:10" ht="21" customHeight="1" x14ac:dyDescent="0.2">
      <c r="A351" s="28"/>
      <c r="B351" s="29"/>
      <c r="C351" s="29"/>
      <c r="D351" s="48" t="str">
        <f>IFERROR(VLOOKUP(Tabela1[[#This Row],[Tag]],TAGS!$J$1:$K$9,2,0),"")</f>
        <v/>
      </c>
      <c r="E351" s="29"/>
      <c r="F351" s="30"/>
      <c r="G351" s="31"/>
      <c r="H351" s="31"/>
      <c r="I351" s="4" t="str">
        <f t="shared" si="9"/>
        <v/>
      </c>
      <c r="J351" s="5" t="str">
        <f>IF(Tabela1[[#This Row],[Caixa]]="Receita","Recebido",IF(G351="","",IF(H351="","",IF(H351&gt;G351,"Pago atrasado",IF(H351&lt;=G351,"Pago","Aguardando")))))</f>
        <v/>
      </c>
    </row>
    <row r="352" spans="1:10" ht="21" customHeight="1" x14ac:dyDescent="0.2">
      <c r="A352" s="28"/>
      <c r="B352" s="29"/>
      <c r="C352" s="29"/>
      <c r="D352" s="48" t="str">
        <f>IFERROR(VLOOKUP(Tabela1[[#This Row],[Tag]],TAGS!$J$1:$K$9,2,0),"")</f>
        <v/>
      </c>
      <c r="E352" s="29"/>
      <c r="F352" s="30"/>
      <c r="G352" s="31"/>
      <c r="H352" s="31"/>
      <c r="I352" s="4" t="str">
        <f t="shared" si="9"/>
        <v/>
      </c>
      <c r="J352" s="5" t="str">
        <f>IF(Tabela1[[#This Row],[Caixa]]="Receita","Recebido",IF(G352="","",IF(H352="","",IF(H352&gt;G352,"Pago atrasado",IF(H352&lt;=G352,"Pago","Aguardando")))))</f>
        <v/>
      </c>
    </row>
    <row r="353" spans="1:10" ht="21" customHeight="1" x14ac:dyDescent="0.2">
      <c r="A353" s="28"/>
      <c r="B353" s="29"/>
      <c r="C353" s="29"/>
      <c r="D353" s="48" t="str">
        <f>IFERROR(VLOOKUP(Tabela1[[#This Row],[Tag]],TAGS!$J$1:$K$9,2,0),"")</f>
        <v/>
      </c>
      <c r="E353" s="29"/>
      <c r="F353" s="30"/>
      <c r="G353" s="31"/>
      <c r="H353" s="31"/>
      <c r="I353" s="4" t="str">
        <f t="shared" si="9"/>
        <v/>
      </c>
      <c r="J353" s="5" t="str">
        <f>IF(Tabela1[[#This Row],[Caixa]]="Receita","Recebido",IF(G353="","",IF(H353="","",IF(H353&gt;G353,"Pago atrasado",IF(H353&lt;=G353,"Pago","Aguardando")))))</f>
        <v/>
      </c>
    </row>
    <row r="354" spans="1:10" ht="21" customHeight="1" x14ac:dyDescent="0.2">
      <c r="A354" s="28"/>
      <c r="B354" s="29"/>
      <c r="C354" s="29"/>
      <c r="D354" s="48" t="str">
        <f>IFERROR(VLOOKUP(Tabela1[[#This Row],[Tag]],TAGS!$J$1:$K$9,2,0),"")</f>
        <v/>
      </c>
      <c r="E354" s="29"/>
      <c r="F354" s="30"/>
      <c r="G354" s="31"/>
      <c r="H354" s="31"/>
      <c r="I354" s="4" t="str">
        <f t="shared" si="9"/>
        <v/>
      </c>
      <c r="J354" s="5" t="str">
        <f>IF(Tabela1[[#This Row],[Caixa]]="Receita","Recebido",IF(G354="","",IF(H354="","",IF(H354&gt;G354,"Pago atrasado",IF(H354&lt;=G354,"Pago","Aguardando")))))</f>
        <v/>
      </c>
    </row>
    <row r="355" spans="1:10" ht="21" customHeight="1" x14ac:dyDescent="0.2">
      <c r="A355" s="28"/>
      <c r="B355" s="29"/>
      <c r="C355" s="29"/>
      <c r="D355" s="48" t="str">
        <f>IFERROR(VLOOKUP(Tabela1[[#This Row],[Tag]],TAGS!$J$1:$K$9,2,0),"")</f>
        <v/>
      </c>
      <c r="E355" s="29"/>
      <c r="F355" s="30"/>
      <c r="G355" s="31"/>
      <c r="H355" s="31"/>
      <c r="I355" s="4" t="str">
        <f t="shared" si="9"/>
        <v/>
      </c>
      <c r="J355" s="5" t="str">
        <f>IF(Tabela1[[#This Row],[Caixa]]="Receita","Recebido",IF(G355="","",IF(H355="","",IF(H355&gt;G355,"Pago atrasado",IF(H355&lt;=G355,"Pago","Aguardando")))))</f>
        <v/>
      </c>
    </row>
    <row r="356" spans="1:10" ht="21" customHeight="1" x14ac:dyDescent="0.2">
      <c r="A356" s="28"/>
      <c r="B356" s="29"/>
      <c r="C356" s="29"/>
      <c r="D356" s="48" t="str">
        <f>IFERROR(VLOOKUP(Tabela1[[#This Row],[Tag]],TAGS!$J$1:$K$9,2,0),"")</f>
        <v/>
      </c>
      <c r="E356" s="29"/>
      <c r="F356" s="30"/>
      <c r="G356" s="31"/>
      <c r="H356" s="31"/>
      <c r="I356" s="4" t="str">
        <f t="shared" si="9"/>
        <v/>
      </c>
      <c r="J356" s="5" t="str">
        <f>IF(Tabela1[[#This Row],[Caixa]]="Receita","Recebido",IF(G356="","",IF(H356="","",IF(H356&gt;G356,"Pago atrasado",IF(H356&lt;=G356,"Pago","Aguardando")))))</f>
        <v/>
      </c>
    </row>
    <row r="357" spans="1:10" ht="21" customHeight="1" x14ac:dyDescent="0.2">
      <c r="A357" s="28"/>
      <c r="B357" s="29"/>
      <c r="C357" s="29"/>
      <c r="D357" s="48" t="str">
        <f>IFERROR(VLOOKUP(Tabela1[[#This Row],[Tag]],TAGS!$J$1:$K$9,2,0),"")</f>
        <v/>
      </c>
      <c r="E357" s="29"/>
      <c r="F357" s="30"/>
      <c r="G357" s="31"/>
      <c r="H357" s="31"/>
      <c r="I357" s="4" t="str">
        <f t="shared" si="9"/>
        <v/>
      </c>
      <c r="J357" s="5" t="str">
        <f>IF(Tabela1[[#This Row],[Caixa]]="Receita","Recebido",IF(G357="","",IF(H357="","",IF(H357&gt;G357,"Pago atrasado",IF(H357&lt;=G357,"Pago","Aguardando")))))</f>
        <v/>
      </c>
    </row>
    <row r="358" spans="1:10" ht="21" customHeight="1" x14ac:dyDescent="0.2">
      <c r="A358" s="28"/>
      <c r="B358" s="29"/>
      <c r="C358" s="29"/>
      <c r="D358" s="48" t="str">
        <f>IFERROR(VLOOKUP(Tabela1[[#This Row],[Tag]],TAGS!$J$1:$K$9,2,0),"")</f>
        <v/>
      </c>
      <c r="E358" s="29"/>
      <c r="F358" s="30"/>
      <c r="G358" s="31"/>
      <c r="H358" s="31"/>
      <c r="I358" s="4" t="str">
        <f t="shared" si="9"/>
        <v/>
      </c>
      <c r="J358" s="5" t="str">
        <f>IF(Tabela1[[#This Row],[Caixa]]="Receita","Recebido",IF(G358="","",IF(H358="","",IF(H358&gt;G358,"Pago atrasado",IF(H358&lt;=G358,"Pago","Aguardando")))))</f>
        <v/>
      </c>
    </row>
    <row r="359" spans="1:10" ht="21" customHeight="1" x14ac:dyDescent="0.2">
      <c r="A359" s="28"/>
      <c r="B359" s="29"/>
      <c r="C359" s="29"/>
      <c r="D359" s="48" t="str">
        <f>IFERROR(VLOOKUP(Tabela1[[#This Row],[Tag]],TAGS!$J$1:$K$9,2,0),"")</f>
        <v/>
      </c>
      <c r="E359" s="29"/>
      <c r="F359" s="30"/>
      <c r="G359" s="31"/>
      <c r="H359" s="31"/>
      <c r="I359" s="4" t="str">
        <f t="shared" si="9"/>
        <v/>
      </c>
      <c r="J359" s="5" t="str">
        <f>IF(Tabela1[[#This Row],[Caixa]]="Receita","Recebido",IF(G359="","",IF(H359="","",IF(H359&gt;G359,"Pago atrasado",IF(H359&lt;=G359,"Pago","Aguardando")))))</f>
        <v/>
      </c>
    </row>
    <row r="360" spans="1:10" ht="21" customHeight="1" x14ac:dyDescent="0.2">
      <c r="A360" s="28"/>
      <c r="B360" s="29"/>
      <c r="C360" s="29"/>
      <c r="D360" s="48" t="str">
        <f>IFERROR(VLOOKUP(Tabela1[[#This Row],[Tag]],TAGS!$J$1:$K$9,2,0),"")</f>
        <v/>
      </c>
      <c r="E360" s="29"/>
      <c r="F360" s="30"/>
      <c r="G360" s="31"/>
      <c r="H360" s="31"/>
      <c r="I360" s="4" t="str">
        <f t="shared" si="9"/>
        <v/>
      </c>
      <c r="J360" s="5" t="str">
        <f>IF(Tabela1[[#This Row],[Caixa]]="Receita","Recebido",IF(G360="","",IF(H360="","",IF(H360&gt;G360,"Pago atrasado",IF(H360&lt;=G360,"Pago","Aguardando")))))</f>
        <v/>
      </c>
    </row>
    <row r="361" spans="1:10" ht="21" customHeight="1" x14ac:dyDescent="0.2">
      <c r="A361" s="28"/>
      <c r="B361" s="29"/>
      <c r="C361" s="29"/>
      <c r="D361" s="48" t="str">
        <f>IFERROR(VLOOKUP(Tabela1[[#This Row],[Tag]],TAGS!$J$1:$K$9,2,0),"")</f>
        <v/>
      </c>
      <c r="E361" s="29"/>
      <c r="F361" s="30"/>
      <c r="G361" s="31"/>
      <c r="H361" s="31"/>
      <c r="I361" s="4" t="str">
        <f t="shared" si="9"/>
        <v/>
      </c>
      <c r="J361" s="5" t="str">
        <f>IF(Tabela1[[#This Row],[Caixa]]="Receita","Recebido",IF(G361="","",IF(H361="","",IF(H361&gt;G361,"Pago atrasado",IF(H361&lt;=G361,"Pago","Aguardando")))))</f>
        <v/>
      </c>
    </row>
    <row r="362" spans="1:10" ht="21" customHeight="1" x14ac:dyDescent="0.2">
      <c r="A362" s="28"/>
      <c r="B362" s="29"/>
      <c r="C362" s="29"/>
      <c r="D362" s="48" t="str">
        <f>IFERROR(VLOOKUP(Tabela1[[#This Row],[Tag]],TAGS!$J$1:$K$9,2,0),"")</f>
        <v/>
      </c>
      <c r="E362" s="29"/>
      <c r="F362" s="30"/>
      <c r="G362" s="31"/>
      <c r="H362" s="31"/>
      <c r="I362" s="4" t="str">
        <f t="shared" si="9"/>
        <v/>
      </c>
      <c r="J362" s="5" t="str">
        <f>IF(Tabela1[[#This Row],[Caixa]]="Receita","Recebido",IF(G362="","",IF(H362="","",IF(H362&gt;G362,"Pago atrasado",IF(H362&lt;=G362,"Pago","Aguardando")))))</f>
        <v/>
      </c>
    </row>
    <row r="363" spans="1:10" ht="21" customHeight="1" x14ac:dyDescent="0.2">
      <c r="A363" s="28"/>
      <c r="B363" s="29"/>
      <c r="C363" s="29"/>
      <c r="D363" s="48" t="str">
        <f>IFERROR(VLOOKUP(Tabela1[[#This Row],[Tag]],TAGS!$J$1:$K$9,2,0),"")</f>
        <v/>
      </c>
      <c r="E363" s="29"/>
      <c r="F363" s="30"/>
      <c r="G363" s="31"/>
      <c r="H363" s="31"/>
      <c r="I363" s="4" t="str">
        <f t="shared" si="9"/>
        <v/>
      </c>
      <c r="J363" s="5" t="str">
        <f>IF(Tabela1[[#This Row],[Caixa]]="Receita","Recebido",IF(G363="","",IF(H363="","",IF(H363&gt;G363,"Pago atrasado",IF(H363&lt;=G363,"Pago","Aguardando")))))</f>
        <v/>
      </c>
    </row>
    <row r="364" spans="1:10" ht="21" customHeight="1" x14ac:dyDescent="0.2">
      <c r="A364" s="28"/>
      <c r="B364" s="29"/>
      <c r="C364" s="29"/>
      <c r="D364" s="48" t="str">
        <f>IFERROR(VLOOKUP(Tabela1[[#This Row],[Tag]],TAGS!$J$1:$K$9,2,0),"")</f>
        <v/>
      </c>
      <c r="E364" s="29"/>
      <c r="F364" s="30"/>
      <c r="G364" s="31"/>
      <c r="H364" s="31"/>
      <c r="I364" s="4" t="str">
        <f t="shared" si="9"/>
        <v/>
      </c>
      <c r="J364" s="5" t="str">
        <f>IF(Tabela1[[#This Row],[Caixa]]="Receita","Recebido",IF(G364="","",IF(H364="","",IF(H364&gt;G364,"Pago atrasado",IF(H364&lt;=G364,"Pago","Aguardando")))))</f>
        <v/>
      </c>
    </row>
    <row r="365" spans="1:10" ht="21" customHeight="1" x14ac:dyDescent="0.2">
      <c r="A365" s="28"/>
      <c r="B365" s="29"/>
      <c r="C365" s="29"/>
      <c r="D365" s="48" t="str">
        <f>IFERROR(VLOOKUP(Tabela1[[#This Row],[Tag]],TAGS!$J$1:$K$9,2,0),"")</f>
        <v/>
      </c>
      <c r="E365" s="29"/>
      <c r="F365" s="30"/>
      <c r="G365" s="31"/>
      <c r="H365" s="31"/>
      <c r="I365" s="4" t="str">
        <f t="shared" si="9"/>
        <v/>
      </c>
      <c r="J365" s="5" t="str">
        <f>IF(Tabela1[[#This Row],[Caixa]]="Receita","Recebido",IF(G365="","",IF(H365="","",IF(H365&gt;G365,"Pago atrasado",IF(H365&lt;=G365,"Pago","Aguardando")))))</f>
        <v/>
      </c>
    </row>
    <row r="366" spans="1:10" ht="21" customHeight="1" x14ac:dyDescent="0.2">
      <c r="A366" s="28"/>
      <c r="B366" s="29"/>
      <c r="C366" s="29"/>
      <c r="D366" s="48" t="str">
        <f>IFERROR(VLOOKUP(Tabela1[[#This Row],[Tag]],TAGS!$J$1:$K$9,2,0),"")</f>
        <v/>
      </c>
      <c r="E366" s="29"/>
      <c r="F366" s="30"/>
      <c r="G366" s="31"/>
      <c r="H366" s="31"/>
      <c r="I366" s="4" t="str">
        <f t="shared" si="9"/>
        <v/>
      </c>
      <c r="J366" s="5" t="str">
        <f>IF(Tabela1[[#This Row],[Caixa]]="Receita","Recebido",IF(G366="","",IF(H366="","",IF(H366&gt;G366,"Pago atrasado",IF(H366&lt;=G366,"Pago","Aguardando")))))</f>
        <v/>
      </c>
    </row>
    <row r="367" spans="1:10" ht="21" customHeight="1" x14ac:dyDescent="0.2">
      <c r="A367" s="28"/>
      <c r="B367" s="29"/>
      <c r="C367" s="29"/>
      <c r="D367" s="48" t="str">
        <f>IFERROR(VLOOKUP(Tabela1[[#This Row],[Tag]],TAGS!$J$1:$K$9,2,0),"")</f>
        <v/>
      </c>
      <c r="E367" s="29"/>
      <c r="F367" s="30"/>
      <c r="G367" s="31"/>
      <c r="H367" s="31"/>
      <c r="I367" s="4" t="str">
        <f t="shared" si="9"/>
        <v/>
      </c>
      <c r="J367" s="5" t="str">
        <f>IF(Tabela1[[#This Row],[Caixa]]="Receita","Recebido",IF(G367="","",IF(H367="","",IF(H367&gt;G367,"Pago atrasado",IF(H367&lt;=G367,"Pago","Aguardando")))))</f>
        <v/>
      </c>
    </row>
    <row r="368" spans="1:10" ht="21" customHeight="1" x14ac:dyDescent="0.2">
      <c r="A368" s="28"/>
      <c r="B368" s="29"/>
      <c r="C368" s="29"/>
      <c r="D368" s="48" t="str">
        <f>IFERROR(VLOOKUP(Tabela1[[#This Row],[Tag]],TAGS!$J$1:$K$9,2,0),"")</f>
        <v/>
      </c>
      <c r="E368" s="29"/>
      <c r="F368" s="30"/>
      <c r="G368" s="31"/>
      <c r="H368" s="31"/>
      <c r="I368" s="4" t="str">
        <f t="shared" si="9"/>
        <v/>
      </c>
      <c r="J368" s="5" t="str">
        <f>IF(Tabela1[[#This Row],[Caixa]]="Receita","Recebido",IF(G368="","",IF(H368="","",IF(H368&gt;G368,"Pago atrasado",IF(H368&lt;=G368,"Pago","Aguardando")))))</f>
        <v/>
      </c>
    </row>
    <row r="369" spans="1:10" ht="21" customHeight="1" x14ac:dyDescent="0.2">
      <c r="A369" s="28"/>
      <c r="B369" s="29"/>
      <c r="C369" s="29"/>
      <c r="D369" s="48" t="str">
        <f>IFERROR(VLOOKUP(Tabela1[[#This Row],[Tag]],TAGS!$J$1:$K$9,2,0),"")</f>
        <v/>
      </c>
      <c r="E369" s="29"/>
      <c r="F369" s="30"/>
      <c r="G369" s="31"/>
      <c r="H369" s="31"/>
      <c r="I369" s="4" t="str">
        <f t="shared" ref="I369:I432" si="10">IF(G369="","",TEXT(G369,"mmmm"))</f>
        <v/>
      </c>
      <c r="J369" s="5" t="str">
        <f>IF(Tabela1[[#This Row],[Caixa]]="Receita","Recebido",IF(G369="","",IF(H369="","",IF(H369&gt;G369,"Pago atrasado",IF(H369&lt;=G369,"Pago","Aguardando")))))</f>
        <v/>
      </c>
    </row>
    <row r="370" spans="1:10" ht="21" customHeight="1" x14ac:dyDescent="0.2">
      <c r="A370" s="28"/>
      <c r="B370" s="29"/>
      <c r="C370" s="29"/>
      <c r="D370" s="48" t="str">
        <f>IFERROR(VLOOKUP(Tabela1[[#This Row],[Tag]],TAGS!$J$1:$K$9,2,0),"")</f>
        <v/>
      </c>
      <c r="E370" s="29"/>
      <c r="F370" s="30"/>
      <c r="G370" s="31"/>
      <c r="H370" s="31"/>
      <c r="I370" s="4" t="str">
        <f t="shared" si="10"/>
        <v/>
      </c>
      <c r="J370" s="5" t="str">
        <f>IF(Tabela1[[#This Row],[Caixa]]="Receita","Recebido",IF(G370="","",IF(H370="","",IF(H370&gt;G370,"Pago atrasado",IF(H370&lt;=G370,"Pago","Aguardando")))))</f>
        <v/>
      </c>
    </row>
    <row r="371" spans="1:10" ht="21" customHeight="1" x14ac:dyDescent="0.2">
      <c r="A371" s="28"/>
      <c r="B371" s="29"/>
      <c r="C371" s="29"/>
      <c r="D371" s="48" t="str">
        <f>IFERROR(VLOOKUP(Tabela1[[#This Row],[Tag]],TAGS!$J$1:$K$9,2,0),"")</f>
        <v/>
      </c>
      <c r="E371" s="29"/>
      <c r="F371" s="30"/>
      <c r="G371" s="31"/>
      <c r="H371" s="31"/>
      <c r="I371" s="4" t="str">
        <f t="shared" si="10"/>
        <v/>
      </c>
      <c r="J371" s="5" t="str">
        <f>IF(Tabela1[[#This Row],[Caixa]]="Receita","Recebido",IF(G371="","",IF(H371="","",IF(H371&gt;G371,"Pago atrasado",IF(H371&lt;=G371,"Pago","Aguardando")))))</f>
        <v/>
      </c>
    </row>
    <row r="372" spans="1:10" ht="21" customHeight="1" x14ac:dyDescent="0.2">
      <c r="A372" s="28"/>
      <c r="B372" s="29"/>
      <c r="C372" s="29"/>
      <c r="D372" s="48" t="str">
        <f>IFERROR(VLOOKUP(Tabela1[[#This Row],[Tag]],TAGS!$J$1:$K$9,2,0),"")</f>
        <v/>
      </c>
      <c r="E372" s="29"/>
      <c r="F372" s="30"/>
      <c r="G372" s="31"/>
      <c r="H372" s="31"/>
      <c r="I372" s="4" t="str">
        <f t="shared" si="10"/>
        <v/>
      </c>
      <c r="J372" s="5" t="str">
        <f>IF(Tabela1[[#This Row],[Caixa]]="Receita","Recebido",IF(G372="","",IF(H372="","",IF(H372&gt;G372,"Pago atrasado",IF(H372&lt;=G372,"Pago","Aguardando")))))</f>
        <v/>
      </c>
    </row>
    <row r="373" spans="1:10" ht="21" customHeight="1" x14ac:dyDescent="0.2">
      <c r="A373" s="28"/>
      <c r="B373" s="29"/>
      <c r="C373" s="29"/>
      <c r="D373" s="48" t="str">
        <f>IFERROR(VLOOKUP(Tabela1[[#This Row],[Tag]],TAGS!$J$1:$K$9,2,0),"")</f>
        <v/>
      </c>
      <c r="E373" s="29"/>
      <c r="F373" s="30"/>
      <c r="G373" s="31"/>
      <c r="H373" s="31"/>
      <c r="I373" s="4" t="str">
        <f t="shared" si="10"/>
        <v/>
      </c>
      <c r="J373" s="5" t="str">
        <f>IF(Tabela1[[#This Row],[Caixa]]="Receita","Recebido",IF(G373="","",IF(H373="","",IF(H373&gt;G373,"Pago atrasado",IF(H373&lt;=G373,"Pago","Aguardando")))))</f>
        <v/>
      </c>
    </row>
    <row r="374" spans="1:10" ht="21" customHeight="1" x14ac:dyDescent="0.2">
      <c r="A374" s="28"/>
      <c r="B374" s="29"/>
      <c r="C374" s="29"/>
      <c r="D374" s="48" t="str">
        <f>IFERROR(VLOOKUP(Tabela1[[#This Row],[Tag]],TAGS!$J$1:$K$9,2,0),"")</f>
        <v/>
      </c>
      <c r="E374" s="29"/>
      <c r="F374" s="30"/>
      <c r="G374" s="31"/>
      <c r="H374" s="31"/>
      <c r="I374" s="4" t="str">
        <f t="shared" si="10"/>
        <v/>
      </c>
      <c r="J374" s="5" t="str">
        <f>IF(Tabela1[[#This Row],[Caixa]]="Receita","Recebido",IF(G374="","",IF(H374="","",IF(H374&gt;G374,"Pago atrasado",IF(H374&lt;=G374,"Pago","Aguardando")))))</f>
        <v/>
      </c>
    </row>
    <row r="375" spans="1:10" ht="21" customHeight="1" x14ac:dyDescent="0.2">
      <c r="A375" s="28"/>
      <c r="B375" s="29"/>
      <c r="C375" s="29"/>
      <c r="D375" s="48" t="str">
        <f>IFERROR(VLOOKUP(Tabela1[[#This Row],[Tag]],TAGS!$J$1:$K$9,2,0),"")</f>
        <v/>
      </c>
      <c r="E375" s="29"/>
      <c r="F375" s="30"/>
      <c r="G375" s="31"/>
      <c r="H375" s="31"/>
      <c r="I375" s="4" t="str">
        <f t="shared" si="10"/>
        <v/>
      </c>
      <c r="J375" s="5" t="str">
        <f>IF(Tabela1[[#This Row],[Caixa]]="Receita","Recebido",IF(G375="","",IF(H375="","",IF(H375&gt;G375,"Pago atrasado",IF(H375&lt;=G375,"Pago","Aguardando")))))</f>
        <v/>
      </c>
    </row>
    <row r="376" spans="1:10" ht="21" customHeight="1" x14ac:dyDescent="0.2">
      <c r="A376" s="28"/>
      <c r="B376" s="29"/>
      <c r="C376" s="29"/>
      <c r="D376" s="48" t="str">
        <f>IFERROR(VLOOKUP(Tabela1[[#This Row],[Tag]],TAGS!$J$1:$K$9,2,0),"")</f>
        <v/>
      </c>
      <c r="E376" s="29"/>
      <c r="F376" s="30"/>
      <c r="G376" s="31"/>
      <c r="H376" s="31"/>
      <c r="I376" s="4" t="str">
        <f t="shared" si="10"/>
        <v/>
      </c>
      <c r="J376" s="5" t="str">
        <f>IF(Tabela1[[#This Row],[Caixa]]="Receita","Recebido",IF(G376="","",IF(H376="","",IF(H376&gt;G376,"Pago atrasado",IF(H376&lt;=G376,"Pago","Aguardando")))))</f>
        <v/>
      </c>
    </row>
    <row r="377" spans="1:10" ht="21" customHeight="1" x14ac:dyDescent="0.2">
      <c r="A377" s="28"/>
      <c r="B377" s="29"/>
      <c r="C377" s="29"/>
      <c r="D377" s="48" t="str">
        <f>IFERROR(VLOOKUP(Tabela1[[#This Row],[Tag]],TAGS!$J$1:$K$9,2,0),"")</f>
        <v/>
      </c>
      <c r="E377" s="29"/>
      <c r="F377" s="30"/>
      <c r="G377" s="31"/>
      <c r="H377" s="31"/>
      <c r="I377" s="4" t="str">
        <f t="shared" si="10"/>
        <v/>
      </c>
      <c r="J377" s="5" t="str">
        <f>IF(Tabela1[[#This Row],[Caixa]]="Receita","Recebido",IF(G377="","",IF(H377="","",IF(H377&gt;G377,"Pago atrasado",IF(H377&lt;=G377,"Pago","Aguardando")))))</f>
        <v/>
      </c>
    </row>
    <row r="378" spans="1:10" ht="21" customHeight="1" x14ac:dyDescent="0.2">
      <c r="A378" s="28"/>
      <c r="B378" s="29"/>
      <c r="C378" s="29"/>
      <c r="D378" s="48" t="str">
        <f>IFERROR(VLOOKUP(Tabela1[[#This Row],[Tag]],TAGS!$J$1:$K$9,2,0),"")</f>
        <v/>
      </c>
      <c r="E378" s="29"/>
      <c r="F378" s="30"/>
      <c r="G378" s="31"/>
      <c r="H378" s="31"/>
      <c r="I378" s="4" t="str">
        <f t="shared" si="10"/>
        <v/>
      </c>
      <c r="J378" s="5" t="str">
        <f>IF(Tabela1[[#This Row],[Caixa]]="Receita","Recebido",IF(G378="","",IF(H378="","",IF(H378&gt;G378,"Pago atrasado",IF(H378&lt;=G378,"Pago","Aguardando")))))</f>
        <v/>
      </c>
    </row>
    <row r="379" spans="1:10" ht="21" customHeight="1" x14ac:dyDescent="0.2">
      <c r="A379" s="28"/>
      <c r="B379" s="29"/>
      <c r="C379" s="29"/>
      <c r="D379" s="48" t="str">
        <f>IFERROR(VLOOKUP(Tabela1[[#This Row],[Tag]],TAGS!$J$1:$K$9,2,0),"")</f>
        <v/>
      </c>
      <c r="E379" s="29"/>
      <c r="F379" s="30"/>
      <c r="G379" s="31"/>
      <c r="H379" s="31"/>
      <c r="I379" s="4" t="str">
        <f t="shared" si="10"/>
        <v/>
      </c>
      <c r="J379" s="5" t="str">
        <f>IF(Tabela1[[#This Row],[Caixa]]="Receita","Recebido",IF(G379="","",IF(H379="","",IF(H379&gt;G379,"Pago atrasado",IF(H379&lt;=G379,"Pago","Aguardando")))))</f>
        <v/>
      </c>
    </row>
    <row r="380" spans="1:10" ht="21" customHeight="1" x14ac:dyDescent="0.2">
      <c r="A380" s="28"/>
      <c r="B380" s="29"/>
      <c r="C380" s="29"/>
      <c r="D380" s="48" t="str">
        <f>IFERROR(VLOOKUP(Tabela1[[#This Row],[Tag]],TAGS!$J$1:$K$9,2,0),"")</f>
        <v/>
      </c>
      <c r="E380" s="29"/>
      <c r="F380" s="30"/>
      <c r="G380" s="31"/>
      <c r="H380" s="31"/>
      <c r="I380" s="4" t="str">
        <f t="shared" si="10"/>
        <v/>
      </c>
      <c r="J380" s="5" t="str">
        <f>IF(Tabela1[[#This Row],[Caixa]]="Receita","Recebido",IF(G380="","",IF(H380="","",IF(H380&gt;G380,"Pago atrasado",IF(H380&lt;=G380,"Pago","Aguardando")))))</f>
        <v/>
      </c>
    </row>
    <row r="381" spans="1:10" ht="21" customHeight="1" x14ac:dyDescent="0.2">
      <c r="A381" s="28"/>
      <c r="B381" s="29"/>
      <c r="C381" s="29"/>
      <c r="D381" s="48" t="str">
        <f>IFERROR(VLOOKUP(Tabela1[[#This Row],[Tag]],TAGS!$J$1:$K$9,2,0),"")</f>
        <v/>
      </c>
      <c r="E381" s="29"/>
      <c r="F381" s="30"/>
      <c r="G381" s="31"/>
      <c r="H381" s="31"/>
      <c r="I381" s="4" t="str">
        <f t="shared" si="10"/>
        <v/>
      </c>
      <c r="J381" s="5" t="str">
        <f>IF(Tabela1[[#This Row],[Caixa]]="Receita","Recebido",IF(G381="","",IF(H381="","",IF(H381&gt;G381,"Pago atrasado",IF(H381&lt;=G381,"Pago","Aguardando")))))</f>
        <v/>
      </c>
    </row>
    <row r="382" spans="1:10" ht="21" customHeight="1" x14ac:dyDescent="0.2">
      <c r="A382" s="28"/>
      <c r="B382" s="29"/>
      <c r="C382" s="29"/>
      <c r="D382" s="48" t="str">
        <f>IFERROR(VLOOKUP(Tabela1[[#This Row],[Tag]],TAGS!$J$1:$K$9,2,0),"")</f>
        <v/>
      </c>
      <c r="E382" s="29"/>
      <c r="F382" s="30"/>
      <c r="G382" s="31"/>
      <c r="H382" s="31"/>
      <c r="I382" s="4" t="str">
        <f t="shared" si="10"/>
        <v/>
      </c>
      <c r="J382" s="5" t="str">
        <f>IF(Tabela1[[#This Row],[Caixa]]="Receita","Recebido",IF(G382="","",IF(H382="","",IF(H382&gt;G382,"Pago atrasado",IF(H382&lt;=G382,"Pago","Aguardando")))))</f>
        <v/>
      </c>
    </row>
    <row r="383" spans="1:10" ht="21" customHeight="1" x14ac:dyDescent="0.2">
      <c r="A383" s="28"/>
      <c r="B383" s="29"/>
      <c r="C383" s="29"/>
      <c r="D383" s="48" t="str">
        <f>IFERROR(VLOOKUP(Tabela1[[#This Row],[Tag]],TAGS!$J$1:$K$9,2,0),"")</f>
        <v/>
      </c>
      <c r="E383" s="29"/>
      <c r="F383" s="30"/>
      <c r="G383" s="31"/>
      <c r="H383" s="31"/>
      <c r="I383" s="4" t="str">
        <f t="shared" si="10"/>
        <v/>
      </c>
      <c r="J383" s="5" t="str">
        <f>IF(Tabela1[[#This Row],[Caixa]]="Receita","Recebido",IF(G383="","",IF(H383="","",IF(H383&gt;G383,"Pago atrasado",IF(H383&lt;=G383,"Pago","Aguardando")))))</f>
        <v/>
      </c>
    </row>
    <row r="384" spans="1:10" ht="21" customHeight="1" x14ac:dyDescent="0.2">
      <c r="A384" s="28"/>
      <c r="B384" s="29"/>
      <c r="C384" s="29"/>
      <c r="D384" s="48" t="str">
        <f>IFERROR(VLOOKUP(Tabela1[[#This Row],[Tag]],TAGS!$J$1:$K$9,2,0),"")</f>
        <v/>
      </c>
      <c r="E384" s="29"/>
      <c r="F384" s="30"/>
      <c r="G384" s="31"/>
      <c r="H384" s="31"/>
      <c r="I384" s="4" t="str">
        <f t="shared" si="10"/>
        <v/>
      </c>
      <c r="J384" s="5" t="str">
        <f>IF(Tabela1[[#This Row],[Caixa]]="Receita","Recebido",IF(G384="","",IF(H384="","",IF(H384&gt;G384,"Pago atrasado",IF(H384&lt;=G384,"Pago","Aguardando")))))</f>
        <v/>
      </c>
    </row>
    <row r="385" spans="1:10" ht="21" customHeight="1" x14ac:dyDescent="0.2">
      <c r="A385" s="28"/>
      <c r="B385" s="29"/>
      <c r="C385" s="29"/>
      <c r="D385" s="48" t="str">
        <f>IFERROR(VLOOKUP(Tabela1[[#This Row],[Tag]],TAGS!$J$1:$K$9,2,0),"")</f>
        <v/>
      </c>
      <c r="E385" s="29"/>
      <c r="F385" s="30"/>
      <c r="G385" s="31"/>
      <c r="H385" s="31"/>
      <c r="I385" s="4" t="str">
        <f t="shared" si="10"/>
        <v/>
      </c>
      <c r="J385" s="5" t="str">
        <f>IF(Tabela1[[#This Row],[Caixa]]="Receita","Recebido",IF(G385="","",IF(H385="","",IF(H385&gt;G385,"Pago atrasado",IF(H385&lt;=G385,"Pago","Aguardando")))))</f>
        <v/>
      </c>
    </row>
    <row r="386" spans="1:10" ht="21" customHeight="1" x14ac:dyDescent="0.2">
      <c r="A386" s="28"/>
      <c r="B386" s="29"/>
      <c r="C386" s="29"/>
      <c r="D386" s="48" t="str">
        <f>IFERROR(VLOOKUP(Tabela1[[#This Row],[Tag]],TAGS!$J$1:$K$9,2,0),"")</f>
        <v/>
      </c>
      <c r="E386" s="29"/>
      <c r="F386" s="30"/>
      <c r="G386" s="31"/>
      <c r="H386" s="31"/>
      <c r="I386" s="4" t="str">
        <f t="shared" si="10"/>
        <v/>
      </c>
      <c r="J386" s="5" t="str">
        <f>IF(Tabela1[[#This Row],[Caixa]]="Receita","Recebido",IF(G386="","",IF(H386="","",IF(H386&gt;G386,"Pago atrasado",IF(H386&lt;=G386,"Pago","Aguardando")))))</f>
        <v/>
      </c>
    </row>
    <row r="387" spans="1:10" ht="21" customHeight="1" x14ac:dyDescent="0.2">
      <c r="A387" s="28"/>
      <c r="B387" s="29"/>
      <c r="C387" s="29"/>
      <c r="D387" s="48" t="str">
        <f>IFERROR(VLOOKUP(Tabela1[[#This Row],[Tag]],TAGS!$J$1:$K$9,2,0),"")</f>
        <v/>
      </c>
      <c r="E387" s="29"/>
      <c r="F387" s="30"/>
      <c r="G387" s="31"/>
      <c r="H387" s="31"/>
      <c r="I387" s="4" t="str">
        <f t="shared" si="10"/>
        <v/>
      </c>
      <c r="J387" s="5" t="str">
        <f>IF(Tabela1[[#This Row],[Caixa]]="Receita","Recebido",IF(G387="","",IF(H387="","",IF(H387&gt;G387,"Pago atrasado",IF(H387&lt;=G387,"Pago","Aguardando")))))</f>
        <v/>
      </c>
    </row>
    <row r="388" spans="1:10" ht="21" customHeight="1" x14ac:dyDescent="0.2">
      <c r="A388" s="28"/>
      <c r="B388" s="29"/>
      <c r="C388" s="29"/>
      <c r="D388" s="48" t="str">
        <f>IFERROR(VLOOKUP(Tabela1[[#This Row],[Tag]],TAGS!$J$1:$K$9,2,0),"")</f>
        <v/>
      </c>
      <c r="E388" s="29"/>
      <c r="F388" s="30"/>
      <c r="G388" s="31"/>
      <c r="H388" s="31"/>
      <c r="I388" s="4" t="str">
        <f t="shared" si="10"/>
        <v/>
      </c>
      <c r="J388" s="5" t="str">
        <f>IF(Tabela1[[#This Row],[Caixa]]="Receita","Recebido",IF(G388="","",IF(H388="","",IF(H388&gt;G388,"Pago atrasado",IF(H388&lt;=G388,"Pago","Aguardando")))))</f>
        <v/>
      </c>
    </row>
    <row r="389" spans="1:10" ht="21" customHeight="1" x14ac:dyDescent="0.2">
      <c r="A389" s="28"/>
      <c r="B389" s="29"/>
      <c r="C389" s="29"/>
      <c r="D389" s="48" t="str">
        <f>IFERROR(VLOOKUP(Tabela1[[#This Row],[Tag]],TAGS!$J$1:$K$9,2,0),"")</f>
        <v/>
      </c>
      <c r="E389" s="29"/>
      <c r="F389" s="30"/>
      <c r="G389" s="31"/>
      <c r="H389" s="31"/>
      <c r="I389" s="4" t="str">
        <f t="shared" si="10"/>
        <v/>
      </c>
      <c r="J389" s="5" t="str">
        <f>IF(Tabela1[[#This Row],[Caixa]]="Receita","Recebido",IF(G389="","",IF(H389="","",IF(H389&gt;G389,"Pago atrasado",IF(H389&lt;=G389,"Pago","Aguardando")))))</f>
        <v/>
      </c>
    </row>
    <row r="390" spans="1:10" ht="21" customHeight="1" x14ac:dyDescent="0.2">
      <c r="A390" s="28"/>
      <c r="B390" s="29"/>
      <c r="C390" s="29"/>
      <c r="D390" s="48" t="str">
        <f>IFERROR(VLOOKUP(Tabela1[[#This Row],[Tag]],TAGS!$J$1:$K$9,2,0),"")</f>
        <v/>
      </c>
      <c r="E390" s="29"/>
      <c r="F390" s="30"/>
      <c r="G390" s="31"/>
      <c r="H390" s="31"/>
      <c r="I390" s="4" t="str">
        <f t="shared" si="10"/>
        <v/>
      </c>
      <c r="J390" s="5" t="str">
        <f>IF(Tabela1[[#This Row],[Caixa]]="Receita","Recebido",IF(G390="","",IF(H390="","",IF(H390&gt;G390,"Pago atrasado",IF(H390&lt;=G390,"Pago","Aguardando")))))</f>
        <v/>
      </c>
    </row>
    <row r="391" spans="1:10" ht="21" customHeight="1" x14ac:dyDescent="0.2">
      <c r="A391" s="28"/>
      <c r="B391" s="29"/>
      <c r="C391" s="29"/>
      <c r="D391" s="48" t="str">
        <f>IFERROR(VLOOKUP(Tabela1[[#This Row],[Tag]],TAGS!$J$1:$K$9,2,0),"")</f>
        <v/>
      </c>
      <c r="E391" s="29"/>
      <c r="F391" s="30"/>
      <c r="G391" s="31"/>
      <c r="H391" s="31"/>
      <c r="I391" s="4" t="str">
        <f t="shared" si="10"/>
        <v/>
      </c>
      <c r="J391" s="5" t="str">
        <f>IF(Tabela1[[#This Row],[Caixa]]="Receita","Recebido",IF(G391="","",IF(H391="","",IF(H391&gt;G391,"Pago atrasado",IF(H391&lt;=G391,"Pago","Aguardando")))))</f>
        <v/>
      </c>
    </row>
    <row r="392" spans="1:10" ht="21" customHeight="1" x14ac:dyDescent="0.2">
      <c r="A392" s="28"/>
      <c r="B392" s="29"/>
      <c r="C392" s="29"/>
      <c r="D392" s="48" t="str">
        <f>IFERROR(VLOOKUP(Tabela1[[#This Row],[Tag]],TAGS!$J$1:$K$9,2,0),"")</f>
        <v/>
      </c>
      <c r="E392" s="29"/>
      <c r="F392" s="30"/>
      <c r="G392" s="31"/>
      <c r="H392" s="31"/>
      <c r="I392" s="4" t="str">
        <f t="shared" si="10"/>
        <v/>
      </c>
      <c r="J392" s="5" t="str">
        <f>IF(Tabela1[[#This Row],[Caixa]]="Receita","Recebido",IF(G392="","",IF(H392="","",IF(H392&gt;G392,"Pago atrasado",IF(H392&lt;=G392,"Pago","Aguardando")))))</f>
        <v/>
      </c>
    </row>
    <row r="393" spans="1:10" ht="21" customHeight="1" x14ac:dyDescent="0.2">
      <c r="A393" s="28"/>
      <c r="B393" s="29"/>
      <c r="C393" s="29"/>
      <c r="D393" s="48" t="str">
        <f>IFERROR(VLOOKUP(Tabela1[[#This Row],[Tag]],TAGS!$J$1:$K$9,2,0),"")</f>
        <v/>
      </c>
      <c r="E393" s="29"/>
      <c r="F393" s="30"/>
      <c r="G393" s="31"/>
      <c r="H393" s="31"/>
      <c r="I393" s="4" t="str">
        <f t="shared" si="10"/>
        <v/>
      </c>
      <c r="J393" s="5" t="str">
        <f>IF(Tabela1[[#This Row],[Caixa]]="Receita","Recebido",IF(G393="","",IF(H393="","",IF(H393&gt;G393,"Pago atrasado",IF(H393&lt;=G393,"Pago","Aguardando")))))</f>
        <v/>
      </c>
    </row>
    <row r="394" spans="1:10" ht="21" customHeight="1" x14ac:dyDescent="0.2">
      <c r="A394" s="28"/>
      <c r="B394" s="29"/>
      <c r="C394" s="29"/>
      <c r="D394" s="48" t="str">
        <f>IFERROR(VLOOKUP(Tabela1[[#This Row],[Tag]],TAGS!$J$1:$K$9,2,0),"")</f>
        <v/>
      </c>
      <c r="E394" s="29"/>
      <c r="F394" s="30"/>
      <c r="G394" s="31"/>
      <c r="H394" s="31"/>
      <c r="I394" s="4" t="str">
        <f t="shared" si="10"/>
        <v/>
      </c>
      <c r="J394" s="5" t="str">
        <f>IF(Tabela1[[#This Row],[Caixa]]="Receita","Recebido",IF(G394="","",IF(H394="","",IF(H394&gt;G394,"Pago atrasado",IF(H394&lt;=G394,"Pago","Aguardando")))))</f>
        <v/>
      </c>
    </row>
    <row r="395" spans="1:10" ht="21" customHeight="1" x14ac:dyDescent="0.2">
      <c r="A395" s="28"/>
      <c r="B395" s="29"/>
      <c r="C395" s="29"/>
      <c r="D395" s="48" t="str">
        <f>IFERROR(VLOOKUP(Tabela1[[#This Row],[Tag]],TAGS!$J$1:$K$9,2,0),"")</f>
        <v/>
      </c>
      <c r="E395" s="29"/>
      <c r="F395" s="30"/>
      <c r="G395" s="31"/>
      <c r="H395" s="31"/>
      <c r="I395" s="4" t="str">
        <f t="shared" si="10"/>
        <v/>
      </c>
      <c r="J395" s="5" t="str">
        <f>IF(Tabela1[[#This Row],[Caixa]]="Receita","Recebido",IF(G395="","",IF(H395="","",IF(H395&gt;G395,"Pago atrasado",IF(H395&lt;=G395,"Pago","Aguardando")))))</f>
        <v/>
      </c>
    </row>
    <row r="396" spans="1:10" ht="21" customHeight="1" x14ac:dyDescent="0.2">
      <c r="A396" s="28"/>
      <c r="B396" s="29"/>
      <c r="C396" s="29"/>
      <c r="D396" s="48" t="str">
        <f>IFERROR(VLOOKUP(Tabela1[[#This Row],[Tag]],TAGS!$J$1:$K$9,2,0),"")</f>
        <v/>
      </c>
      <c r="E396" s="29"/>
      <c r="F396" s="30"/>
      <c r="G396" s="31"/>
      <c r="H396" s="31"/>
      <c r="I396" s="4" t="str">
        <f t="shared" si="10"/>
        <v/>
      </c>
      <c r="J396" s="5" t="str">
        <f>IF(Tabela1[[#This Row],[Caixa]]="Receita","Recebido",IF(G396="","",IF(H396="","",IF(H396&gt;G396,"Pago atrasado",IF(H396&lt;=G396,"Pago","Aguardando")))))</f>
        <v/>
      </c>
    </row>
    <row r="397" spans="1:10" ht="21" customHeight="1" x14ac:dyDescent="0.2">
      <c r="A397" s="28"/>
      <c r="B397" s="29"/>
      <c r="C397" s="29"/>
      <c r="D397" s="48" t="str">
        <f>IFERROR(VLOOKUP(Tabela1[[#This Row],[Tag]],TAGS!$J$1:$K$9,2,0),"")</f>
        <v/>
      </c>
      <c r="E397" s="29"/>
      <c r="F397" s="30"/>
      <c r="G397" s="31"/>
      <c r="H397" s="31"/>
      <c r="I397" s="4" t="str">
        <f t="shared" si="10"/>
        <v/>
      </c>
      <c r="J397" s="5" t="str">
        <f>IF(Tabela1[[#This Row],[Caixa]]="Receita","Recebido",IF(G397="","",IF(H397="","",IF(H397&gt;G397,"Pago atrasado",IF(H397&lt;=G397,"Pago","Aguardando")))))</f>
        <v/>
      </c>
    </row>
    <row r="398" spans="1:10" ht="21" customHeight="1" x14ac:dyDescent="0.2">
      <c r="A398" s="28"/>
      <c r="B398" s="29"/>
      <c r="C398" s="29"/>
      <c r="D398" s="48" t="str">
        <f>IFERROR(VLOOKUP(Tabela1[[#This Row],[Tag]],TAGS!$J$1:$K$9,2,0),"")</f>
        <v/>
      </c>
      <c r="E398" s="29"/>
      <c r="F398" s="30"/>
      <c r="G398" s="31"/>
      <c r="H398" s="31"/>
      <c r="I398" s="4" t="str">
        <f t="shared" si="10"/>
        <v/>
      </c>
      <c r="J398" s="5" t="str">
        <f>IF(Tabela1[[#This Row],[Caixa]]="Receita","Recebido",IF(G398="","",IF(H398="","",IF(H398&gt;G398,"Pago atrasado",IF(H398&lt;=G398,"Pago","Aguardando")))))</f>
        <v/>
      </c>
    </row>
    <row r="399" spans="1:10" ht="21" customHeight="1" x14ac:dyDescent="0.2">
      <c r="A399" s="28"/>
      <c r="B399" s="29"/>
      <c r="C399" s="29"/>
      <c r="D399" s="48" t="str">
        <f>IFERROR(VLOOKUP(Tabela1[[#This Row],[Tag]],TAGS!$J$1:$K$9,2,0),"")</f>
        <v/>
      </c>
      <c r="E399" s="29"/>
      <c r="F399" s="30"/>
      <c r="G399" s="31"/>
      <c r="H399" s="31"/>
      <c r="I399" s="4" t="str">
        <f t="shared" si="10"/>
        <v/>
      </c>
      <c r="J399" s="5" t="str">
        <f>IF(Tabela1[[#This Row],[Caixa]]="Receita","Recebido",IF(G399="","",IF(H399="","",IF(H399&gt;G399,"Pago atrasado",IF(H399&lt;=G399,"Pago","Aguardando")))))</f>
        <v/>
      </c>
    </row>
    <row r="400" spans="1:10" ht="21" customHeight="1" x14ac:dyDescent="0.2">
      <c r="A400" s="28"/>
      <c r="B400" s="29"/>
      <c r="C400" s="29"/>
      <c r="D400" s="48" t="str">
        <f>IFERROR(VLOOKUP(Tabela1[[#This Row],[Tag]],TAGS!$J$1:$K$9,2,0),"")</f>
        <v/>
      </c>
      <c r="E400" s="29"/>
      <c r="F400" s="30"/>
      <c r="G400" s="31"/>
      <c r="H400" s="31"/>
      <c r="I400" s="4" t="str">
        <f t="shared" si="10"/>
        <v/>
      </c>
      <c r="J400" s="5" t="str">
        <f>IF(Tabela1[[#This Row],[Caixa]]="Receita","Recebido",IF(G400="","",IF(H400="","",IF(H400&gt;G400,"Pago atrasado",IF(H400&lt;=G400,"Pago","Aguardando")))))</f>
        <v/>
      </c>
    </row>
    <row r="401" spans="1:10" ht="21" customHeight="1" x14ac:dyDescent="0.2">
      <c r="A401" s="28"/>
      <c r="B401" s="29"/>
      <c r="C401" s="29"/>
      <c r="D401" s="48" t="str">
        <f>IFERROR(VLOOKUP(Tabela1[[#This Row],[Tag]],TAGS!$J$1:$K$9,2,0),"")</f>
        <v/>
      </c>
      <c r="E401" s="29"/>
      <c r="F401" s="30"/>
      <c r="G401" s="31"/>
      <c r="H401" s="31"/>
      <c r="I401" s="4" t="str">
        <f t="shared" si="10"/>
        <v/>
      </c>
      <c r="J401" s="5" t="str">
        <f>IF(Tabela1[[#This Row],[Caixa]]="Receita","Recebido",IF(G401="","",IF(H401="","",IF(H401&gt;G401,"Pago atrasado",IF(H401&lt;=G401,"Pago","Aguardando")))))</f>
        <v/>
      </c>
    </row>
    <row r="402" spans="1:10" ht="21" customHeight="1" x14ac:dyDescent="0.2">
      <c r="A402" s="28"/>
      <c r="B402" s="29"/>
      <c r="C402" s="29"/>
      <c r="D402" s="48" t="str">
        <f>IFERROR(VLOOKUP(Tabela1[[#This Row],[Tag]],TAGS!$J$1:$K$9,2,0),"")</f>
        <v/>
      </c>
      <c r="E402" s="29"/>
      <c r="F402" s="30"/>
      <c r="G402" s="31"/>
      <c r="H402" s="31"/>
      <c r="I402" s="4" t="str">
        <f t="shared" si="10"/>
        <v/>
      </c>
      <c r="J402" s="5" t="str">
        <f>IF(Tabela1[[#This Row],[Caixa]]="Receita","Recebido",IF(G402="","",IF(H402="","",IF(H402&gt;G402,"Pago atrasado",IF(H402&lt;=G402,"Pago","Aguardando")))))</f>
        <v/>
      </c>
    </row>
    <row r="403" spans="1:10" ht="21" customHeight="1" x14ac:dyDescent="0.2">
      <c r="A403" s="28"/>
      <c r="B403" s="29"/>
      <c r="C403" s="29"/>
      <c r="D403" s="48" t="str">
        <f>IFERROR(VLOOKUP(Tabela1[[#This Row],[Tag]],TAGS!$J$1:$K$9,2,0),"")</f>
        <v/>
      </c>
      <c r="E403" s="29"/>
      <c r="F403" s="30"/>
      <c r="G403" s="31"/>
      <c r="H403" s="31"/>
      <c r="I403" s="4" t="str">
        <f t="shared" si="10"/>
        <v/>
      </c>
      <c r="J403" s="5" t="str">
        <f>IF(Tabela1[[#This Row],[Caixa]]="Receita","Recebido",IF(G403="","",IF(H403="","",IF(H403&gt;G403,"Pago atrasado",IF(H403&lt;=G403,"Pago","Aguardando")))))</f>
        <v/>
      </c>
    </row>
    <row r="404" spans="1:10" ht="21" customHeight="1" x14ac:dyDescent="0.2">
      <c r="A404" s="28"/>
      <c r="B404" s="29"/>
      <c r="C404" s="29"/>
      <c r="D404" s="48" t="str">
        <f>IFERROR(VLOOKUP(Tabela1[[#This Row],[Tag]],TAGS!$J$1:$K$9,2,0),"")</f>
        <v/>
      </c>
      <c r="E404" s="29"/>
      <c r="F404" s="30"/>
      <c r="G404" s="31"/>
      <c r="H404" s="31"/>
      <c r="I404" s="4" t="str">
        <f t="shared" si="10"/>
        <v/>
      </c>
      <c r="J404" s="5" t="str">
        <f>IF(Tabela1[[#This Row],[Caixa]]="Receita","Recebido",IF(G404="","",IF(H404="","",IF(H404&gt;G404,"Pago atrasado",IF(H404&lt;=G404,"Pago","Aguardando")))))</f>
        <v/>
      </c>
    </row>
    <row r="405" spans="1:10" ht="21" customHeight="1" x14ac:dyDescent="0.2">
      <c r="A405" s="28"/>
      <c r="B405" s="29"/>
      <c r="C405" s="29"/>
      <c r="D405" s="48" t="str">
        <f>IFERROR(VLOOKUP(Tabela1[[#This Row],[Tag]],TAGS!$J$1:$K$9,2,0),"")</f>
        <v/>
      </c>
      <c r="E405" s="29"/>
      <c r="F405" s="30"/>
      <c r="G405" s="31"/>
      <c r="H405" s="31"/>
      <c r="I405" s="4" t="str">
        <f t="shared" si="10"/>
        <v/>
      </c>
      <c r="J405" s="5" t="str">
        <f>IF(Tabela1[[#This Row],[Caixa]]="Receita","Recebido",IF(G405="","",IF(H405="","",IF(H405&gt;G405,"Pago atrasado",IF(H405&lt;=G405,"Pago","Aguardando")))))</f>
        <v/>
      </c>
    </row>
    <row r="406" spans="1:10" ht="21" customHeight="1" x14ac:dyDescent="0.2">
      <c r="A406" s="28"/>
      <c r="B406" s="29"/>
      <c r="C406" s="29"/>
      <c r="D406" s="48" t="str">
        <f>IFERROR(VLOOKUP(Tabela1[[#This Row],[Tag]],TAGS!$J$1:$K$9,2,0),"")</f>
        <v/>
      </c>
      <c r="E406" s="29"/>
      <c r="F406" s="30"/>
      <c r="G406" s="31"/>
      <c r="H406" s="31"/>
      <c r="I406" s="4" t="str">
        <f t="shared" si="10"/>
        <v/>
      </c>
      <c r="J406" s="5" t="str">
        <f>IF(Tabela1[[#This Row],[Caixa]]="Receita","Recebido",IF(G406="","",IF(H406="","",IF(H406&gt;G406,"Pago atrasado",IF(H406&lt;=G406,"Pago","Aguardando")))))</f>
        <v/>
      </c>
    </row>
    <row r="407" spans="1:10" ht="21" customHeight="1" x14ac:dyDescent="0.2">
      <c r="A407" s="28"/>
      <c r="B407" s="29"/>
      <c r="C407" s="29"/>
      <c r="D407" s="48" t="str">
        <f>IFERROR(VLOOKUP(Tabela1[[#This Row],[Tag]],TAGS!$J$1:$K$9,2,0),"")</f>
        <v/>
      </c>
      <c r="E407" s="29"/>
      <c r="F407" s="30"/>
      <c r="G407" s="31"/>
      <c r="H407" s="31"/>
      <c r="I407" s="4" t="str">
        <f t="shared" si="10"/>
        <v/>
      </c>
      <c r="J407" s="5" t="str">
        <f>IF(Tabela1[[#This Row],[Caixa]]="Receita","Recebido",IF(G407="","",IF(H407="","",IF(H407&gt;G407,"Pago atrasado",IF(H407&lt;=G407,"Pago","Aguardando")))))</f>
        <v/>
      </c>
    </row>
    <row r="408" spans="1:10" ht="21" customHeight="1" x14ac:dyDescent="0.2">
      <c r="A408" s="28"/>
      <c r="B408" s="29"/>
      <c r="C408" s="29"/>
      <c r="D408" s="48" t="str">
        <f>IFERROR(VLOOKUP(Tabela1[[#This Row],[Tag]],TAGS!$J$1:$K$9,2,0),"")</f>
        <v/>
      </c>
      <c r="E408" s="29"/>
      <c r="F408" s="30"/>
      <c r="G408" s="31"/>
      <c r="H408" s="31"/>
      <c r="I408" s="4" t="str">
        <f t="shared" si="10"/>
        <v/>
      </c>
      <c r="J408" s="5" t="str">
        <f>IF(Tabela1[[#This Row],[Caixa]]="Receita","Recebido",IF(G408="","",IF(H408="","",IF(H408&gt;G408,"Pago atrasado",IF(H408&lt;=G408,"Pago","Aguardando")))))</f>
        <v/>
      </c>
    </row>
    <row r="409" spans="1:10" ht="21" customHeight="1" x14ac:dyDescent="0.2">
      <c r="A409" s="28"/>
      <c r="B409" s="29"/>
      <c r="C409" s="29"/>
      <c r="D409" s="48" t="str">
        <f>IFERROR(VLOOKUP(Tabela1[[#This Row],[Tag]],TAGS!$J$1:$K$9,2,0),"")</f>
        <v/>
      </c>
      <c r="E409" s="29"/>
      <c r="F409" s="30"/>
      <c r="G409" s="31"/>
      <c r="H409" s="31"/>
      <c r="I409" s="4" t="str">
        <f t="shared" si="10"/>
        <v/>
      </c>
      <c r="J409" s="5" t="str">
        <f>IF(Tabela1[[#This Row],[Caixa]]="Receita","Recebido",IF(G409="","",IF(H409="","",IF(H409&gt;G409,"Pago atrasado",IF(H409&lt;=G409,"Pago","Aguardando")))))</f>
        <v/>
      </c>
    </row>
    <row r="410" spans="1:10" ht="21" customHeight="1" x14ac:dyDescent="0.2">
      <c r="A410" s="28"/>
      <c r="B410" s="29"/>
      <c r="C410" s="29"/>
      <c r="D410" s="48" t="str">
        <f>IFERROR(VLOOKUP(Tabela1[[#This Row],[Tag]],TAGS!$J$1:$K$9,2,0),"")</f>
        <v/>
      </c>
      <c r="E410" s="29"/>
      <c r="F410" s="30"/>
      <c r="G410" s="31"/>
      <c r="H410" s="31"/>
      <c r="I410" s="4" t="str">
        <f t="shared" si="10"/>
        <v/>
      </c>
      <c r="J410" s="5" t="str">
        <f>IF(Tabela1[[#This Row],[Caixa]]="Receita","Recebido",IF(G410="","",IF(H410="","",IF(H410&gt;G410,"Pago atrasado",IF(H410&lt;=G410,"Pago","Aguardando")))))</f>
        <v/>
      </c>
    </row>
    <row r="411" spans="1:10" ht="21" customHeight="1" x14ac:dyDescent="0.2">
      <c r="A411" s="28"/>
      <c r="B411" s="29"/>
      <c r="C411" s="29"/>
      <c r="D411" s="48" t="str">
        <f>IFERROR(VLOOKUP(Tabela1[[#This Row],[Tag]],TAGS!$J$1:$K$9,2,0),"")</f>
        <v/>
      </c>
      <c r="E411" s="29"/>
      <c r="F411" s="30"/>
      <c r="G411" s="31"/>
      <c r="H411" s="31"/>
      <c r="I411" s="4" t="str">
        <f t="shared" si="10"/>
        <v/>
      </c>
      <c r="J411" s="5" t="str">
        <f>IF(Tabela1[[#This Row],[Caixa]]="Receita","Recebido",IF(G411="","",IF(H411="","",IF(H411&gt;G411,"Pago atrasado",IF(H411&lt;=G411,"Pago","Aguardando")))))</f>
        <v/>
      </c>
    </row>
    <row r="412" spans="1:10" ht="21" customHeight="1" x14ac:dyDescent="0.2">
      <c r="A412" s="28"/>
      <c r="B412" s="29"/>
      <c r="C412" s="29"/>
      <c r="D412" s="48" t="str">
        <f>IFERROR(VLOOKUP(Tabela1[[#This Row],[Tag]],TAGS!$J$1:$K$9,2,0),"")</f>
        <v/>
      </c>
      <c r="E412" s="29"/>
      <c r="F412" s="30"/>
      <c r="G412" s="31"/>
      <c r="H412" s="31"/>
      <c r="I412" s="4" t="str">
        <f t="shared" si="10"/>
        <v/>
      </c>
      <c r="J412" s="5" t="str">
        <f>IF(Tabela1[[#This Row],[Caixa]]="Receita","Recebido",IF(G412="","",IF(H412="","",IF(H412&gt;G412,"Pago atrasado",IF(H412&lt;=G412,"Pago","Aguardando")))))</f>
        <v/>
      </c>
    </row>
    <row r="413" spans="1:10" ht="21" customHeight="1" x14ac:dyDescent="0.2">
      <c r="A413" s="28"/>
      <c r="B413" s="29"/>
      <c r="C413" s="29"/>
      <c r="D413" s="48" t="str">
        <f>IFERROR(VLOOKUP(Tabela1[[#This Row],[Tag]],TAGS!$J$1:$K$9,2,0),"")</f>
        <v/>
      </c>
      <c r="E413" s="29"/>
      <c r="F413" s="30"/>
      <c r="G413" s="31"/>
      <c r="H413" s="31"/>
      <c r="I413" s="4" t="str">
        <f t="shared" si="10"/>
        <v/>
      </c>
      <c r="J413" s="5" t="str">
        <f>IF(Tabela1[[#This Row],[Caixa]]="Receita","Recebido",IF(G413="","",IF(H413="","",IF(H413&gt;G413,"Pago atrasado",IF(H413&lt;=G413,"Pago","Aguardando")))))</f>
        <v/>
      </c>
    </row>
    <row r="414" spans="1:10" ht="21" customHeight="1" x14ac:dyDescent="0.2">
      <c r="A414" s="28"/>
      <c r="B414" s="29"/>
      <c r="C414" s="29"/>
      <c r="D414" s="48" t="str">
        <f>IFERROR(VLOOKUP(Tabela1[[#This Row],[Tag]],TAGS!$J$1:$K$9,2,0),"")</f>
        <v/>
      </c>
      <c r="E414" s="29"/>
      <c r="F414" s="30"/>
      <c r="G414" s="31"/>
      <c r="H414" s="31"/>
      <c r="I414" s="4" t="str">
        <f t="shared" si="10"/>
        <v/>
      </c>
      <c r="J414" s="5" t="str">
        <f>IF(Tabela1[[#This Row],[Caixa]]="Receita","Recebido",IF(G414="","",IF(H414="","",IF(H414&gt;G414,"Pago atrasado",IF(H414&lt;=G414,"Pago","Aguardando")))))</f>
        <v/>
      </c>
    </row>
    <row r="415" spans="1:10" ht="21" customHeight="1" x14ac:dyDescent="0.2">
      <c r="A415" s="28"/>
      <c r="B415" s="29"/>
      <c r="C415" s="29"/>
      <c r="D415" s="48" t="str">
        <f>IFERROR(VLOOKUP(Tabela1[[#This Row],[Tag]],TAGS!$J$1:$K$9,2,0),"")</f>
        <v/>
      </c>
      <c r="E415" s="29"/>
      <c r="F415" s="30"/>
      <c r="G415" s="31"/>
      <c r="H415" s="31"/>
      <c r="I415" s="4" t="str">
        <f t="shared" si="10"/>
        <v/>
      </c>
      <c r="J415" s="5" t="str">
        <f>IF(Tabela1[[#This Row],[Caixa]]="Receita","Recebido",IF(G415="","",IF(H415="","",IF(H415&gt;G415,"Pago atrasado",IF(H415&lt;=G415,"Pago","Aguardando")))))</f>
        <v/>
      </c>
    </row>
    <row r="416" spans="1:10" ht="21" customHeight="1" x14ac:dyDescent="0.2">
      <c r="A416" s="28"/>
      <c r="B416" s="29"/>
      <c r="C416" s="29"/>
      <c r="D416" s="48" t="str">
        <f>IFERROR(VLOOKUP(Tabela1[[#This Row],[Tag]],TAGS!$J$1:$K$9,2,0),"")</f>
        <v/>
      </c>
      <c r="E416" s="29"/>
      <c r="F416" s="30"/>
      <c r="G416" s="31"/>
      <c r="H416" s="31"/>
      <c r="I416" s="4" t="str">
        <f t="shared" si="10"/>
        <v/>
      </c>
      <c r="J416" s="5" t="str">
        <f>IF(Tabela1[[#This Row],[Caixa]]="Receita","Recebido",IF(G416="","",IF(H416="","",IF(H416&gt;G416,"Pago atrasado",IF(H416&lt;=G416,"Pago","Aguardando")))))</f>
        <v/>
      </c>
    </row>
    <row r="417" spans="1:10" ht="21" customHeight="1" x14ac:dyDescent="0.2">
      <c r="A417" s="28"/>
      <c r="B417" s="29"/>
      <c r="C417" s="29"/>
      <c r="D417" s="48" t="str">
        <f>IFERROR(VLOOKUP(Tabela1[[#This Row],[Tag]],TAGS!$J$1:$K$9,2,0),"")</f>
        <v/>
      </c>
      <c r="E417" s="29"/>
      <c r="F417" s="30"/>
      <c r="G417" s="31"/>
      <c r="H417" s="31"/>
      <c r="I417" s="4" t="str">
        <f t="shared" si="10"/>
        <v/>
      </c>
      <c r="J417" s="5" t="str">
        <f>IF(Tabela1[[#This Row],[Caixa]]="Receita","Recebido",IF(G417="","",IF(H417="","",IF(H417&gt;G417,"Pago atrasado",IF(H417&lt;=G417,"Pago","Aguardando")))))</f>
        <v/>
      </c>
    </row>
    <row r="418" spans="1:10" ht="21" customHeight="1" x14ac:dyDescent="0.2">
      <c r="A418" s="28"/>
      <c r="B418" s="29"/>
      <c r="C418" s="29"/>
      <c r="D418" s="48" t="str">
        <f>IFERROR(VLOOKUP(Tabela1[[#This Row],[Tag]],TAGS!$J$1:$K$9,2,0),"")</f>
        <v/>
      </c>
      <c r="E418" s="29"/>
      <c r="F418" s="30"/>
      <c r="G418" s="31"/>
      <c r="H418" s="31"/>
      <c r="I418" s="4" t="str">
        <f t="shared" si="10"/>
        <v/>
      </c>
      <c r="J418" s="5" t="str">
        <f>IF(Tabela1[[#This Row],[Caixa]]="Receita","Recebido",IF(G418="","",IF(H418="","",IF(H418&gt;G418,"Pago atrasado",IF(H418&lt;=G418,"Pago","Aguardando")))))</f>
        <v/>
      </c>
    </row>
    <row r="419" spans="1:10" ht="21" customHeight="1" x14ac:dyDescent="0.2">
      <c r="A419" s="28"/>
      <c r="B419" s="29"/>
      <c r="C419" s="29"/>
      <c r="D419" s="48" t="str">
        <f>IFERROR(VLOOKUP(Tabela1[[#This Row],[Tag]],TAGS!$J$1:$K$9,2,0),"")</f>
        <v/>
      </c>
      <c r="E419" s="29"/>
      <c r="F419" s="30"/>
      <c r="G419" s="31"/>
      <c r="H419" s="31"/>
      <c r="I419" s="4" t="str">
        <f t="shared" si="10"/>
        <v/>
      </c>
      <c r="J419" s="5" t="str">
        <f>IF(Tabela1[[#This Row],[Caixa]]="Receita","Recebido",IF(G419="","",IF(H419="","",IF(H419&gt;G419,"Pago atrasado",IF(H419&lt;=G419,"Pago","Aguardando")))))</f>
        <v/>
      </c>
    </row>
    <row r="420" spans="1:10" ht="21" customHeight="1" x14ac:dyDescent="0.2">
      <c r="A420" s="28"/>
      <c r="B420" s="29"/>
      <c r="C420" s="29"/>
      <c r="D420" s="48" t="str">
        <f>IFERROR(VLOOKUP(Tabela1[[#This Row],[Tag]],TAGS!$J$1:$K$9,2,0),"")</f>
        <v/>
      </c>
      <c r="E420" s="29"/>
      <c r="F420" s="30"/>
      <c r="G420" s="31"/>
      <c r="H420" s="31"/>
      <c r="I420" s="4" t="str">
        <f t="shared" si="10"/>
        <v/>
      </c>
      <c r="J420" s="5" t="str">
        <f>IF(Tabela1[[#This Row],[Caixa]]="Receita","Recebido",IF(G420="","",IF(H420="","",IF(H420&gt;G420,"Pago atrasado",IF(H420&lt;=G420,"Pago","Aguardando")))))</f>
        <v/>
      </c>
    </row>
    <row r="421" spans="1:10" ht="21" customHeight="1" x14ac:dyDescent="0.2">
      <c r="A421" s="28"/>
      <c r="B421" s="29"/>
      <c r="C421" s="29"/>
      <c r="D421" s="48" t="str">
        <f>IFERROR(VLOOKUP(Tabela1[[#This Row],[Tag]],TAGS!$J$1:$K$9,2,0),"")</f>
        <v/>
      </c>
      <c r="E421" s="29"/>
      <c r="F421" s="30"/>
      <c r="G421" s="31"/>
      <c r="H421" s="31"/>
      <c r="I421" s="4" t="str">
        <f t="shared" si="10"/>
        <v/>
      </c>
      <c r="J421" s="5" t="str">
        <f>IF(Tabela1[[#This Row],[Caixa]]="Receita","Recebido",IF(G421="","",IF(H421="","",IF(H421&gt;G421,"Pago atrasado",IF(H421&lt;=G421,"Pago","Aguardando")))))</f>
        <v/>
      </c>
    </row>
    <row r="422" spans="1:10" ht="21" customHeight="1" x14ac:dyDescent="0.2">
      <c r="A422" s="28"/>
      <c r="B422" s="29"/>
      <c r="C422" s="29"/>
      <c r="D422" s="48" t="str">
        <f>IFERROR(VLOOKUP(Tabela1[[#This Row],[Tag]],TAGS!$J$1:$K$9,2,0),"")</f>
        <v/>
      </c>
      <c r="E422" s="29"/>
      <c r="F422" s="30"/>
      <c r="G422" s="31"/>
      <c r="H422" s="31"/>
      <c r="I422" s="4" t="str">
        <f t="shared" si="10"/>
        <v/>
      </c>
      <c r="J422" s="5" t="str">
        <f>IF(Tabela1[[#This Row],[Caixa]]="Receita","Recebido",IF(G422="","",IF(H422="","",IF(H422&gt;G422,"Pago atrasado",IF(H422&lt;=G422,"Pago","Aguardando")))))</f>
        <v/>
      </c>
    </row>
    <row r="423" spans="1:10" ht="21" customHeight="1" x14ac:dyDescent="0.2">
      <c r="A423" s="28"/>
      <c r="B423" s="29"/>
      <c r="C423" s="29"/>
      <c r="D423" s="48" t="str">
        <f>IFERROR(VLOOKUP(Tabela1[[#This Row],[Tag]],TAGS!$J$1:$K$9,2,0),"")</f>
        <v/>
      </c>
      <c r="E423" s="29"/>
      <c r="F423" s="30"/>
      <c r="G423" s="31"/>
      <c r="H423" s="31"/>
      <c r="I423" s="4" t="str">
        <f t="shared" si="10"/>
        <v/>
      </c>
      <c r="J423" s="5" t="str">
        <f>IF(Tabela1[[#This Row],[Caixa]]="Receita","Recebido",IF(G423="","",IF(H423="","",IF(H423&gt;G423,"Pago atrasado",IF(H423&lt;=G423,"Pago","Aguardando")))))</f>
        <v/>
      </c>
    </row>
    <row r="424" spans="1:10" ht="21" customHeight="1" x14ac:dyDescent="0.2">
      <c r="A424" s="28"/>
      <c r="B424" s="29"/>
      <c r="C424" s="29"/>
      <c r="D424" s="48" t="str">
        <f>IFERROR(VLOOKUP(Tabela1[[#This Row],[Tag]],TAGS!$J$1:$K$9,2,0),"")</f>
        <v/>
      </c>
      <c r="E424" s="29"/>
      <c r="F424" s="30"/>
      <c r="G424" s="31"/>
      <c r="H424" s="31"/>
      <c r="I424" s="4" t="str">
        <f t="shared" si="10"/>
        <v/>
      </c>
      <c r="J424" s="5" t="str">
        <f>IF(Tabela1[[#This Row],[Caixa]]="Receita","Recebido",IF(G424="","",IF(H424="","",IF(H424&gt;G424,"Pago atrasado",IF(H424&lt;=G424,"Pago","Aguardando")))))</f>
        <v/>
      </c>
    </row>
    <row r="425" spans="1:10" ht="21" customHeight="1" x14ac:dyDescent="0.2">
      <c r="A425" s="28"/>
      <c r="B425" s="29"/>
      <c r="C425" s="29"/>
      <c r="D425" s="48" t="str">
        <f>IFERROR(VLOOKUP(Tabela1[[#This Row],[Tag]],TAGS!$J$1:$K$9,2,0),"")</f>
        <v/>
      </c>
      <c r="E425" s="29"/>
      <c r="F425" s="30"/>
      <c r="G425" s="31"/>
      <c r="H425" s="31"/>
      <c r="I425" s="4" t="str">
        <f t="shared" si="10"/>
        <v/>
      </c>
      <c r="J425" s="5" t="str">
        <f>IF(Tabela1[[#This Row],[Caixa]]="Receita","Recebido",IF(G425="","",IF(H425="","",IF(H425&gt;G425,"Pago atrasado",IF(H425&lt;=G425,"Pago","Aguardando")))))</f>
        <v/>
      </c>
    </row>
    <row r="426" spans="1:10" ht="21" customHeight="1" x14ac:dyDescent="0.2">
      <c r="A426" s="28"/>
      <c r="B426" s="29"/>
      <c r="C426" s="29"/>
      <c r="D426" s="48" t="str">
        <f>IFERROR(VLOOKUP(Tabela1[[#This Row],[Tag]],TAGS!$J$1:$K$9,2,0),"")</f>
        <v/>
      </c>
      <c r="E426" s="29"/>
      <c r="F426" s="30"/>
      <c r="G426" s="31"/>
      <c r="H426" s="31"/>
      <c r="I426" s="4" t="str">
        <f t="shared" si="10"/>
        <v/>
      </c>
      <c r="J426" s="5" t="str">
        <f>IF(Tabela1[[#This Row],[Caixa]]="Receita","Recebido",IF(G426="","",IF(H426="","",IF(H426&gt;G426,"Pago atrasado",IF(H426&lt;=G426,"Pago","Aguardando")))))</f>
        <v/>
      </c>
    </row>
    <row r="427" spans="1:10" ht="21" customHeight="1" x14ac:dyDescent="0.2">
      <c r="A427" s="28"/>
      <c r="B427" s="29"/>
      <c r="C427" s="29"/>
      <c r="D427" s="48" t="str">
        <f>IFERROR(VLOOKUP(Tabela1[[#This Row],[Tag]],TAGS!$J$1:$K$9,2,0),"")</f>
        <v/>
      </c>
      <c r="E427" s="29"/>
      <c r="F427" s="30"/>
      <c r="G427" s="31"/>
      <c r="H427" s="31"/>
      <c r="I427" s="4" t="str">
        <f t="shared" si="10"/>
        <v/>
      </c>
      <c r="J427" s="5" t="str">
        <f>IF(Tabela1[[#This Row],[Caixa]]="Receita","Recebido",IF(G427="","",IF(H427="","",IF(H427&gt;G427,"Pago atrasado",IF(H427&lt;=G427,"Pago","Aguardando")))))</f>
        <v/>
      </c>
    </row>
    <row r="428" spans="1:10" ht="21" customHeight="1" x14ac:dyDescent="0.2">
      <c r="A428" s="28"/>
      <c r="B428" s="29"/>
      <c r="C428" s="29"/>
      <c r="D428" s="48" t="str">
        <f>IFERROR(VLOOKUP(Tabela1[[#This Row],[Tag]],TAGS!$J$1:$K$9,2,0),"")</f>
        <v/>
      </c>
      <c r="E428" s="29"/>
      <c r="F428" s="30"/>
      <c r="G428" s="31"/>
      <c r="H428" s="31"/>
      <c r="I428" s="4" t="str">
        <f t="shared" si="10"/>
        <v/>
      </c>
      <c r="J428" s="5" t="str">
        <f>IF(Tabela1[[#This Row],[Caixa]]="Receita","Recebido",IF(G428="","",IF(H428="","",IF(H428&gt;G428,"Pago atrasado",IF(H428&lt;=G428,"Pago","Aguardando")))))</f>
        <v/>
      </c>
    </row>
    <row r="429" spans="1:10" ht="21" customHeight="1" x14ac:dyDescent="0.2">
      <c r="A429" s="28"/>
      <c r="B429" s="29"/>
      <c r="C429" s="29"/>
      <c r="D429" s="48" t="str">
        <f>IFERROR(VLOOKUP(Tabela1[[#This Row],[Tag]],TAGS!$J$1:$K$9,2,0),"")</f>
        <v/>
      </c>
      <c r="E429" s="29"/>
      <c r="F429" s="30"/>
      <c r="G429" s="31"/>
      <c r="H429" s="31"/>
      <c r="I429" s="4" t="str">
        <f t="shared" si="10"/>
        <v/>
      </c>
      <c r="J429" s="5" t="str">
        <f>IF(Tabela1[[#This Row],[Caixa]]="Receita","Recebido",IF(G429="","",IF(H429="","",IF(H429&gt;G429,"Pago atrasado",IF(H429&lt;=G429,"Pago","Aguardando")))))</f>
        <v/>
      </c>
    </row>
    <row r="430" spans="1:10" ht="21" customHeight="1" x14ac:dyDescent="0.2">
      <c r="A430" s="28"/>
      <c r="B430" s="29"/>
      <c r="C430" s="29"/>
      <c r="D430" s="48" t="str">
        <f>IFERROR(VLOOKUP(Tabela1[[#This Row],[Tag]],TAGS!$J$1:$K$9,2,0),"")</f>
        <v/>
      </c>
      <c r="E430" s="29"/>
      <c r="F430" s="30"/>
      <c r="G430" s="31"/>
      <c r="H430" s="31"/>
      <c r="I430" s="4" t="str">
        <f t="shared" si="10"/>
        <v/>
      </c>
      <c r="J430" s="5" t="str">
        <f>IF(Tabela1[[#This Row],[Caixa]]="Receita","Recebido",IF(G430="","",IF(H430="","",IF(H430&gt;G430,"Pago atrasado",IF(H430&lt;=G430,"Pago","Aguardando")))))</f>
        <v/>
      </c>
    </row>
    <row r="431" spans="1:10" ht="21" customHeight="1" x14ac:dyDescent="0.2">
      <c r="A431" s="28"/>
      <c r="B431" s="29"/>
      <c r="C431" s="29"/>
      <c r="D431" s="48" t="str">
        <f>IFERROR(VLOOKUP(Tabela1[[#This Row],[Tag]],TAGS!$J$1:$K$9,2,0),"")</f>
        <v/>
      </c>
      <c r="E431" s="29"/>
      <c r="F431" s="30"/>
      <c r="G431" s="31"/>
      <c r="H431" s="31"/>
      <c r="I431" s="4" t="str">
        <f t="shared" si="10"/>
        <v/>
      </c>
      <c r="J431" s="5" t="str">
        <f>IF(Tabela1[[#This Row],[Caixa]]="Receita","Recebido",IF(G431="","",IF(H431="","",IF(H431&gt;G431,"Pago atrasado",IF(H431&lt;=G431,"Pago","Aguardando")))))</f>
        <v/>
      </c>
    </row>
    <row r="432" spans="1:10" ht="21" customHeight="1" x14ac:dyDescent="0.2">
      <c r="A432" s="28"/>
      <c r="B432" s="29"/>
      <c r="C432" s="29"/>
      <c r="D432" s="48" t="str">
        <f>IFERROR(VLOOKUP(Tabela1[[#This Row],[Tag]],TAGS!$J$1:$K$9,2,0),"")</f>
        <v/>
      </c>
      <c r="E432" s="29"/>
      <c r="F432" s="30"/>
      <c r="G432" s="31"/>
      <c r="H432" s="31"/>
      <c r="I432" s="4" t="str">
        <f t="shared" si="10"/>
        <v/>
      </c>
      <c r="J432" s="5" t="str">
        <f>IF(Tabela1[[#This Row],[Caixa]]="Receita","Recebido",IF(G432="","",IF(H432="","",IF(H432&gt;G432,"Pago atrasado",IF(H432&lt;=G432,"Pago","Aguardando")))))</f>
        <v/>
      </c>
    </row>
    <row r="433" spans="1:10" ht="21" customHeight="1" x14ac:dyDescent="0.2">
      <c r="A433" s="28"/>
      <c r="B433" s="29"/>
      <c r="C433" s="29"/>
      <c r="D433" s="48" t="str">
        <f>IFERROR(VLOOKUP(Tabela1[[#This Row],[Tag]],TAGS!$J$1:$K$9,2,0),"")</f>
        <v/>
      </c>
      <c r="E433" s="29"/>
      <c r="F433" s="30"/>
      <c r="G433" s="31"/>
      <c r="H433" s="31"/>
      <c r="I433" s="4" t="str">
        <f t="shared" ref="I433:I496" si="11">IF(G433="","",TEXT(G433,"mmmm"))</f>
        <v/>
      </c>
      <c r="J433" s="5" t="str">
        <f>IF(Tabela1[[#This Row],[Caixa]]="Receita","Recebido",IF(G433="","",IF(H433="","",IF(H433&gt;G433,"Pago atrasado",IF(H433&lt;=G433,"Pago","Aguardando")))))</f>
        <v/>
      </c>
    </row>
    <row r="434" spans="1:10" ht="21" customHeight="1" x14ac:dyDescent="0.2">
      <c r="A434" s="28"/>
      <c r="B434" s="29"/>
      <c r="C434" s="29"/>
      <c r="D434" s="48" t="str">
        <f>IFERROR(VLOOKUP(Tabela1[[#This Row],[Tag]],TAGS!$J$1:$K$9,2,0),"")</f>
        <v/>
      </c>
      <c r="E434" s="29"/>
      <c r="F434" s="30"/>
      <c r="G434" s="31"/>
      <c r="H434" s="31"/>
      <c r="I434" s="4" t="str">
        <f t="shared" si="11"/>
        <v/>
      </c>
      <c r="J434" s="5" t="str">
        <f>IF(Tabela1[[#This Row],[Caixa]]="Receita","Recebido",IF(G434="","",IF(H434="","",IF(H434&gt;G434,"Pago atrasado",IF(H434&lt;=G434,"Pago","Aguardando")))))</f>
        <v/>
      </c>
    </row>
    <row r="435" spans="1:10" ht="21" customHeight="1" x14ac:dyDescent="0.2">
      <c r="A435" s="28"/>
      <c r="B435" s="29"/>
      <c r="C435" s="29"/>
      <c r="D435" s="48" t="str">
        <f>IFERROR(VLOOKUP(Tabela1[[#This Row],[Tag]],TAGS!$J$1:$K$9,2,0),"")</f>
        <v/>
      </c>
      <c r="E435" s="29"/>
      <c r="F435" s="30"/>
      <c r="G435" s="31"/>
      <c r="H435" s="31"/>
      <c r="I435" s="4" t="str">
        <f t="shared" si="11"/>
        <v/>
      </c>
      <c r="J435" s="5" t="str">
        <f>IF(Tabela1[[#This Row],[Caixa]]="Receita","Recebido",IF(G435="","",IF(H435="","",IF(H435&gt;G435,"Pago atrasado",IF(H435&lt;=G435,"Pago","Aguardando")))))</f>
        <v/>
      </c>
    </row>
    <row r="436" spans="1:10" ht="21" customHeight="1" x14ac:dyDescent="0.2">
      <c r="A436" s="28"/>
      <c r="B436" s="29"/>
      <c r="C436" s="29"/>
      <c r="D436" s="48" t="str">
        <f>IFERROR(VLOOKUP(Tabela1[[#This Row],[Tag]],TAGS!$J$1:$K$9,2,0),"")</f>
        <v/>
      </c>
      <c r="E436" s="29"/>
      <c r="F436" s="30"/>
      <c r="G436" s="31"/>
      <c r="H436" s="31"/>
      <c r="I436" s="4" t="str">
        <f t="shared" si="11"/>
        <v/>
      </c>
      <c r="J436" s="5" t="str">
        <f>IF(Tabela1[[#This Row],[Caixa]]="Receita","Recebido",IF(G436="","",IF(H436="","",IF(H436&gt;G436,"Pago atrasado",IF(H436&lt;=G436,"Pago","Aguardando")))))</f>
        <v/>
      </c>
    </row>
    <row r="437" spans="1:10" ht="21" customHeight="1" x14ac:dyDescent="0.2">
      <c r="A437" s="28"/>
      <c r="B437" s="29"/>
      <c r="C437" s="29"/>
      <c r="D437" s="48" t="str">
        <f>IFERROR(VLOOKUP(Tabela1[[#This Row],[Tag]],TAGS!$J$1:$K$9,2,0),"")</f>
        <v/>
      </c>
      <c r="E437" s="29"/>
      <c r="F437" s="30"/>
      <c r="G437" s="31"/>
      <c r="H437" s="31"/>
      <c r="I437" s="4" t="str">
        <f t="shared" si="11"/>
        <v/>
      </c>
      <c r="J437" s="5" t="str">
        <f>IF(Tabela1[[#This Row],[Caixa]]="Receita","Recebido",IF(G437="","",IF(H437="","",IF(H437&gt;G437,"Pago atrasado",IF(H437&lt;=G437,"Pago","Aguardando")))))</f>
        <v/>
      </c>
    </row>
    <row r="438" spans="1:10" ht="21" customHeight="1" x14ac:dyDescent="0.2">
      <c r="A438" s="28"/>
      <c r="B438" s="29"/>
      <c r="C438" s="29"/>
      <c r="D438" s="48" t="str">
        <f>IFERROR(VLOOKUP(Tabela1[[#This Row],[Tag]],TAGS!$J$1:$K$9,2,0),"")</f>
        <v/>
      </c>
      <c r="E438" s="29"/>
      <c r="F438" s="30"/>
      <c r="G438" s="31"/>
      <c r="H438" s="31"/>
      <c r="I438" s="4" t="str">
        <f t="shared" si="11"/>
        <v/>
      </c>
      <c r="J438" s="5" t="str">
        <f>IF(Tabela1[[#This Row],[Caixa]]="Receita","Recebido",IF(G438="","",IF(H438="","",IF(H438&gt;G438,"Pago atrasado",IF(H438&lt;=G438,"Pago","Aguardando")))))</f>
        <v/>
      </c>
    </row>
    <row r="439" spans="1:10" ht="21" customHeight="1" x14ac:dyDescent="0.2">
      <c r="A439" s="28"/>
      <c r="B439" s="29"/>
      <c r="C439" s="29"/>
      <c r="D439" s="48" t="str">
        <f>IFERROR(VLOOKUP(Tabela1[[#This Row],[Tag]],TAGS!$J$1:$K$9,2,0),"")</f>
        <v/>
      </c>
      <c r="E439" s="29"/>
      <c r="F439" s="30"/>
      <c r="G439" s="31"/>
      <c r="H439" s="31"/>
      <c r="I439" s="4" t="str">
        <f t="shared" si="11"/>
        <v/>
      </c>
      <c r="J439" s="5" t="str">
        <f>IF(Tabela1[[#This Row],[Caixa]]="Receita","Recebido",IF(G439="","",IF(H439="","",IF(H439&gt;G439,"Pago atrasado",IF(H439&lt;=G439,"Pago","Aguardando")))))</f>
        <v/>
      </c>
    </row>
    <row r="440" spans="1:10" ht="21" customHeight="1" x14ac:dyDescent="0.2">
      <c r="A440" s="28"/>
      <c r="B440" s="29"/>
      <c r="C440" s="29"/>
      <c r="D440" s="48" t="str">
        <f>IFERROR(VLOOKUP(Tabela1[[#This Row],[Tag]],TAGS!$J$1:$K$9,2,0),"")</f>
        <v/>
      </c>
      <c r="E440" s="29"/>
      <c r="F440" s="30"/>
      <c r="G440" s="31"/>
      <c r="H440" s="31"/>
      <c r="I440" s="4" t="str">
        <f t="shared" si="11"/>
        <v/>
      </c>
      <c r="J440" s="5" t="str">
        <f>IF(Tabela1[[#This Row],[Caixa]]="Receita","Recebido",IF(G440="","",IF(H440="","",IF(H440&gt;G440,"Pago atrasado",IF(H440&lt;=G440,"Pago","Aguardando")))))</f>
        <v/>
      </c>
    </row>
    <row r="441" spans="1:10" ht="21" customHeight="1" x14ac:dyDescent="0.2">
      <c r="A441" s="28"/>
      <c r="B441" s="29"/>
      <c r="C441" s="29"/>
      <c r="D441" s="48" t="str">
        <f>IFERROR(VLOOKUP(Tabela1[[#This Row],[Tag]],TAGS!$J$1:$K$9,2,0),"")</f>
        <v/>
      </c>
      <c r="E441" s="29"/>
      <c r="F441" s="30"/>
      <c r="G441" s="31"/>
      <c r="H441" s="31"/>
      <c r="I441" s="4" t="str">
        <f t="shared" si="11"/>
        <v/>
      </c>
      <c r="J441" s="5" t="str">
        <f>IF(Tabela1[[#This Row],[Caixa]]="Receita","Recebido",IF(G441="","",IF(H441="","",IF(H441&gt;G441,"Pago atrasado",IF(H441&lt;=G441,"Pago","Aguardando")))))</f>
        <v/>
      </c>
    </row>
    <row r="442" spans="1:10" ht="21" customHeight="1" x14ac:dyDescent="0.2">
      <c r="A442" s="28"/>
      <c r="B442" s="29"/>
      <c r="C442" s="29"/>
      <c r="D442" s="48" t="str">
        <f>IFERROR(VLOOKUP(Tabela1[[#This Row],[Tag]],TAGS!$J$1:$K$9,2,0),"")</f>
        <v/>
      </c>
      <c r="E442" s="29"/>
      <c r="F442" s="30"/>
      <c r="G442" s="31"/>
      <c r="H442" s="31"/>
      <c r="I442" s="4" t="str">
        <f t="shared" si="11"/>
        <v/>
      </c>
      <c r="J442" s="5" t="str">
        <f>IF(Tabela1[[#This Row],[Caixa]]="Receita","Recebido",IF(G442="","",IF(H442="","",IF(H442&gt;G442,"Pago atrasado",IF(H442&lt;=G442,"Pago","Aguardando")))))</f>
        <v/>
      </c>
    </row>
    <row r="443" spans="1:10" ht="21" customHeight="1" x14ac:dyDescent="0.2">
      <c r="A443" s="28"/>
      <c r="B443" s="29"/>
      <c r="C443" s="29"/>
      <c r="D443" s="48" t="str">
        <f>IFERROR(VLOOKUP(Tabela1[[#This Row],[Tag]],TAGS!$J$1:$K$9,2,0),"")</f>
        <v/>
      </c>
      <c r="E443" s="29"/>
      <c r="F443" s="30"/>
      <c r="G443" s="31"/>
      <c r="H443" s="31"/>
      <c r="I443" s="4" t="str">
        <f t="shared" si="11"/>
        <v/>
      </c>
      <c r="J443" s="5" t="str">
        <f>IF(Tabela1[[#This Row],[Caixa]]="Receita","Recebido",IF(G443="","",IF(H443="","",IF(H443&gt;G443,"Pago atrasado",IF(H443&lt;=G443,"Pago","Aguardando")))))</f>
        <v/>
      </c>
    </row>
    <row r="444" spans="1:10" ht="21" customHeight="1" x14ac:dyDescent="0.2">
      <c r="A444" s="28"/>
      <c r="B444" s="29"/>
      <c r="C444" s="29"/>
      <c r="D444" s="48" t="str">
        <f>IFERROR(VLOOKUP(Tabela1[[#This Row],[Tag]],TAGS!$J$1:$K$9,2,0),"")</f>
        <v/>
      </c>
      <c r="E444" s="29"/>
      <c r="F444" s="30"/>
      <c r="G444" s="31"/>
      <c r="H444" s="31"/>
      <c r="I444" s="4" t="str">
        <f t="shared" si="11"/>
        <v/>
      </c>
      <c r="J444" s="5" t="str">
        <f>IF(Tabela1[[#This Row],[Caixa]]="Receita","Recebido",IF(G444="","",IF(H444="","",IF(H444&gt;G444,"Pago atrasado",IF(H444&lt;=G444,"Pago","Aguardando")))))</f>
        <v/>
      </c>
    </row>
    <row r="445" spans="1:10" ht="21" customHeight="1" x14ac:dyDescent="0.2">
      <c r="A445" s="28"/>
      <c r="B445" s="29"/>
      <c r="C445" s="29"/>
      <c r="D445" s="48" t="str">
        <f>IFERROR(VLOOKUP(Tabela1[[#This Row],[Tag]],TAGS!$J$1:$K$9,2,0),"")</f>
        <v/>
      </c>
      <c r="E445" s="29"/>
      <c r="F445" s="30"/>
      <c r="G445" s="31"/>
      <c r="H445" s="31"/>
      <c r="I445" s="4" t="str">
        <f t="shared" si="11"/>
        <v/>
      </c>
      <c r="J445" s="5" t="str">
        <f>IF(Tabela1[[#This Row],[Caixa]]="Receita","Recebido",IF(G445="","",IF(H445="","",IF(H445&gt;G445,"Pago atrasado",IF(H445&lt;=G445,"Pago","Aguardando")))))</f>
        <v/>
      </c>
    </row>
    <row r="446" spans="1:10" ht="21" customHeight="1" x14ac:dyDescent="0.2">
      <c r="A446" s="28"/>
      <c r="B446" s="29"/>
      <c r="C446" s="29"/>
      <c r="D446" s="48" t="str">
        <f>IFERROR(VLOOKUP(Tabela1[[#This Row],[Tag]],TAGS!$J$1:$K$9,2,0),"")</f>
        <v/>
      </c>
      <c r="E446" s="29"/>
      <c r="F446" s="30"/>
      <c r="G446" s="31"/>
      <c r="H446" s="31"/>
      <c r="I446" s="4" t="str">
        <f t="shared" si="11"/>
        <v/>
      </c>
      <c r="J446" s="5" t="str">
        <f>IF(Tabela1[[#This Row],[Caixa]]="Receita","Recebido",IF(G446="","",IF(H446="","",IF(H446&gt;G446,"Pago atrasado",IF(H446&lt;=G446,"Pago","Aguardando")))))</f>
        <v/>
      </c>
    </row>
    <row r="447" spans="1:10" ht="21" customHeight="1" x14ac:dyDescent="0.2">
      <c r="A447" s="28"/>
      <c r="B447" s="29"/>
      <c r="C447" s="29"/>
      <c r="D447" s="48" t="str">
        <f>IFERROR(VLOOKUP(Tabela1[[#This Row],[Tag]],TAGS!$J$1:$K$9,2,0),"")</f>
        <v/>
      </c>
      <c r="E447" s="29"/>
      <c r="F447" s="30"/>
      <c r="G447" s="31"/>
      <c r="H447" s="31"/>
      <c r="I447" s="4" t="str">
        <f t="shared" si="11"/>
        <v/>
      </c>
      <c r="J447" s="5" t="str">
        <f>IF(Tabela1[[#This Row],[Caixa]]="Receita","Recebido",IF(G447="","",IF(H447="","",IF(H447&gt;G447,"Pago atrasado",IF(H447&lt;=G447,"Pago","Aguardando")))))</f>
        <v/>
      </c>
    </row>
    <row r="448" spans="1:10" ht="21" customHeight="1" x14ac:dyDescent="0.2">
      <c r="A448" s="28"/>
      <c r="B448" s="29"/>
      <c r="C448" s="29"/>
      <c r="D448" s="48" t="str">
        <f>IFERROR(VLOOKUP(Tabela1[[#This Row],[Tag]],TAGS!$J$1:$K$9,2,0),"")</f>
        <v/>
      </c>
      <c r="E448" s="29"/>
      <c r="F448" s="30"/>
      <c r="G448" s="31"/>
      <c r="H448" s="31"/>
      <c r="I448" s="4" t="str">
        <f t="shared" si="11"/>
        <v/>
      </c>
      <c r="J448" s="5" t="str">
        <f>IF(Tabela1[[#This Row],[Caixa]]="Receita","Recebido",IF(G448="","",IF(H448="","",IF(H448&gt;G448,"Pago atrasado",IF(H448&lt;=G448,"Pago","Aguardando")))))</f>
        <v/>
      </c>
    </row>
    <row r="449" spans="1:10" ht="21" customHeight="1" x14ac:dyDescent="0.2">
      <c r="A449" s="28"/>
      <c r="B449" s="29"/>
      <c r="C449" s="29"/>
      <c r="D449" s="48" t="str">
        <f>IFERROR(VLOOKUP(Tabela1[[#This Row],[Tag]],TAGS!$J$1:$K$9,2,0),"")</f>
        <v/>
      </c>
      <c r="E449" s="29"/>
      <c r="F449" s="30"/>
      <c r="G449" s="31"/>
      <c r="H449" s="31"/>
      <c r="I449" s="4" t="str">
        <f t="shared" si="11"/>
        <v/>
      </c>
      <c r="J449" s="5" t="str">
        <f>IF(Tabela1[[#This Row],[Caixa]]="Receita","Recebido",IF(G449="","",IF(H449="","",IF(H449&gt;G449,"Pago atrasado",IF(H449&lt;=G449,"Pago","Aguardando")))))</f>
        <v/>
      </c>
    </row>
    <row r="450" spans="1:10" ht="21" customHeight="1" x14ac:dyDescent="0.2">
      <c r="A450" s="28"/>
      <c r="B450" s="29"/>
      <c r="C450" s="29"/>
      <c r="D450" s="48" t="str">
        <f>IFERROR(VLOOKUP(Tabela1[[#This Row],[Tag]],TAGS!$J$1:$K$9,2,0),"")</f>
        <v/>
      </c>
      <c r="E450" s="29"/>
      <c r="F450" s="30"/>
      <c r="G450" s="31"/>
      <c r="H450" s="31"/>
      <c r="I450" s="4" t="str">
        <f t="shared" si="11"/>
        <v/>
      </c>
      <c r="J450" s="5" t="str">
        <f>IF(Tabela1[[#This Row],[Caixa]]="Receita","Recebido",IF(G450="","",IF(H450="","",IF(H450&gt;G450,"Pago atrasado",IF(H450&lt;=G450,"Pago","Aguardando")))))</f>
        <v/>
      </c>
    </row>
    <row r="451" spans="1:10" ht="21" customHeight="1" x14ac:dyDescent="0.2">
      <c r="A451" s="28"/>
      <c r="B451" s="29"/>
      <c r="C451" s="29"/>
      <c r="D451" s="48" t="str">
        <f>IFERROR(VLOOKUP(Tabela1[[#This Row],[Tag]],TAGS!$J$1:$K$9,2,0),"")</f>
        <v/>
      </c>
      <c r="E451" s="29"/>
      <c r="F451" s="30"/>
      <c r="G451" s="31"/>
      <c r="H451" s="31"/>
      <c r="I451" s="4" t="str">
        <f t="shared" si="11"/>
        <v/>
      </c>
      <c r="J451" s="5" t="str">
        <f>IF(Tabela1[[#This Row],[Caixa]]="Receita","Recebido",IF(G451="","",IF(H451="","",IF(H451&gt;G451,"Pago atrasado",IF(H451&lt;=G451,"Pago","Aguardando")))))</f>
        <v/>
      </c>
    </row>
    <row r="452" spans="1:10" ht="21" customHeight="1" x14ac:dyDescent="0.2">
      <c r="A452" s="28"/>
      <c r="B452" s="29"/>
      <c r="C452" s="29"/>
      <c r="D452" s="48" t="str">
        <f>IFERROR(VLOOKUP(Tabela1[[#This Row],[Tag]],TAGS!$J$1:$K$9,2,0),"")</f>
        <v/>
      </c>
      <c r="E452" s="29"/>
      <c r="F452" s="30"/>
      <c r="G452" s="31"/>
      <c r="H452" s="31"/>
      <c r="I452" s="4" t="str">
        <f t="shared" si="11"/>
        <v/>
      </c>
      <c r="J452" s="5" t="str">
        <f>IF(Tabela1[[#This Row],[Caixa]]="Receita","Recebido",IF(G452="","",IF(H452="","",IF(H452&gt;G452,"Pago atrasado",IF(H452&lt;=G452,"Pago","Aguardando")))))</f>
        <v/>
      </c>
    </row>
    <row r="453" spans="1:10" ht="21" customHeight="1" x14ac:dyDescent="0.2">
      <c r="A453" s="28"/>
      <c r="B453" s="29"/>
      <c r="C453" s="29"/>
      <c r="D453" s="48" t="str">
        <f>IFERROR(VLOOKUP(Tabela1[[#This Row],[Tag]],TAGS!$J$1:$K$9,2,0),"")</f>
        <v/>
      </c>
      <c r="E453" s="29"/>
      <c r="F453" s="30"/>
      <c r="G453" s="31"/>
      <c r="H453" s="31"/>
      <c r="I453" s="4" t="str">
        <f t="shared" si="11"/>
        <v/>
      </c>
      <c r="J453" s="5" t="str">
        <f>IF(Tabela1[[#This Row],[Caixa]]="Receita","Recebido",IF(G453="","",IF(H453="","",IF(H453&gt;G453,"Pago atrasado",IF(H453&lt;=G453,"Pago","Aguardando")))))</f>
        <v/>
      </c>
    </row>
    <row r="454" spans="1:10" ht="21" customHeight="1" x14ac:dyDescent="0.2">
      <c r="A454" s="28"/>
      <c r="B454" s="29"/>
      <c r="C454" s="29"/>
      <c r="D454" s="48" t="str">
        <f>IFERROR(VLOOKUP(Tabela1[[#This Row],[Tag]],TAGS!$J$1:$K$9,2,0),"")</f>
        <v/>
      </c>
      <c r="E454" s="29"/>
      <c r="F454" s="30"/>
      <c r="G454" s="31"/>
      <c r="H454" s="31"/>
      <c r="I454" s="4" t="str">
        <f t="shared" si="11"/>
        <v/>
      </c>
      <c r="J454" s="5" t="str">
        <f>IF(Tabela1[[#This Row],[Caixa]]="Receita","Recebido",IF(G454="","",IF(H454="","",IF(H454&gt;G454,"Pago atrasado",IF(H454&lt;=G454,"Pago","Aguardando")))))</f>
        <v/>
      </c>
    </row>
    <row r="455" spans="1:10" ht="21" customHeight="1" x14ac:dyDescent="0.2">
      <c r="A455" s="28"/>
      <c r="B455" s="29"/>
      <c r="C455" s="29"/>
      <c r="D455" s="48" t="str">
        <f>IFERROR(VLOOKUP(Tabela1[[#This Row],[Tag]],TAGS!$J$1:$K$9,2,0),"")</f>
        <v/>
      </c>
      <c r="E455" s="29"/>
      <c r="F455" s="30"/>
      <c r="G455" s="31"/>
      <c r="H455" s="31"/>
      <c r="I455" s="4" t="str">
        <f t="shared" si="11"/>
        <v/>
      </c>
      <c r="J455" s="5" t="str">
        <f>IF(Tabela1[[#This Row],[Caixa]]="Receita","Recebido",IF(G455="","",IF(H455="","",IF(H455&gt;G455,"Pago atrasado",IF(H455&lt;=G455,"Pago","Aguardando")))))</f>
        <v/>
      </c>
    </row>
    <row r="456" spans="1:10" ht="21" customHeight="1" x14ac:dyDescent="0.2">
      <c r="A456" s="28"/>
      <c r="B456" s="29"/>
      <c r="C456" s="29"/>
      <c r="D456" s="48" t="str">
        <f>IFERROR(VLOOKUP(Tabela1[[#This Row],[Tag]],TAGS!$J$1:$K$9,2,0),"")</f>
        <v/>
      </c>
      <c r="E456" s="29"/>
      <c r="F456" s="30"/>
      <c r="G456" s="31"/>
      <c r="H456" s="31"/>
      <c r="I456" s="4" t="str">
        <f t="shared" si="11"/>
        <v/>
      </c>
      <c r="J456" s="5" t="str">
        <f>IF(Tabela1[[#This Row],[Caixa]]="Receita","Recebido",IF(G456="","",IF(H456="","",IF(H456&gt;G456,"Pago atrasado",IF(H456&lt;=G456,"Pago","Aguardando")))))</f>
        <v/>
      </c>
    </row>
    <row r="457" spans="1:10" ht="21" customHeight="1" x14ac:dyDescent="0.2">
      <c r="A457" s="28"/>
      <c r="B457" s="29"/>
      <c r="C457" s="29"/>
      <c r="D457" s="48" t="str">
        <f>IFERROR(VLOOKUP(Tabela1[[#This Row],[Tag]],TAGS!$J$1:$K$9,2,0),"")</f>
        <v/>
      </c>
      <c r="E457" s="29"/>
      <c r="F457" s="30"/>
      <c r="G457" s="31"/>
      <c r="H457" s="31"/>
      <c r="I457" s="4" t="str">
        <f t="shared" si="11"/>
        <v/>
      </c>
      <c r="J457" s="5" t="str">
        <f>IF(Tabela1[[#This Row],[Caixa]]="Receita","Recebido",IF(G457="","",IF(H457="","",IF(H457&gt;G457,"Pago atrasado",IF(H457&lt;=G457,"Pago","Aguardando")))))</f>
        <v/>
      </c>
    </row>
    <row r="458" spans="1:10" ht="21" customHeight="1" x14ac:dyDescent="0.2">
      <c r="A458" s="28"/>
      <c r="B458" s="29"/>
      <c r="C458" s="29"/>
      <c r="D458" s="48" t="str">
        <f>IFERROR(VLOOKUP(Tabela1[[#This Row],[Tag]],TAGS!$J$1:$K$9,2,0),"")</f>
        <v/>
      </c>
      <c r="E458" s="29"/>
      <c r="F458" s="30"/>
      <c r="G458" s="31"/>
      <c r="H458" s="31"/>
      <c r="I458" s="4" t="str">
        <f t="shared" si="11"/>
        <v/>
      </c>
      <c r="J458" s="5" t="str">
        <f>IF(Tabela1[[#This Row],[Caixa]]="Receita","Recebido",IF(G458="","",IF(H458="","",IF(H458&gt;G458,"Pago atrasado",IF(H458&lt;=G458,"Pago","Aguardando")))))</f>
        <v/>
      </c>
    </row>
    <row r="459" spans="1:10" ht="21" customHeight="1" x14ac:dyDescent="0.2">
      <c r="A459" s="28"/>
      <c r="B459" s="29"/>
      <c r="C459" s="29"/>
      <c r="D459" s="48" t="str">
        <f>IFERROR(VLOOKUP(Tabela1[[#This Row],[Tag]],TAGS!$J$1:$K$9,2,0),"")</f>
        <v/>
      </c>
      <c r="E459" s="29"/>
      <c r="F459" s="30"/>
      <c r="G459" s="31"/>
      <c r="H459" s="31"/>
      <c r="I459" s="4" t="str">
        <f t="shared" si="11"/>
        <v/>
      </c>
      <c r="J459" s="5" t="str">
        <f>IF(Tabela1[[#This Row],[Caixa]]="Receita","Recebido",IF(G459="","",IF(H459="","",IF(H459&gt;G459,"Pago atrasado",IF(H459&lt;=G459,"Pago","Aguardando")))))</f>
        <v/>
      </c>
    </row>
    <row r="460" spans="1:10" ht="21" customHeight="1" x14ac:dyDescent="0.2">
      <c r="A460" s="28"/>
      <c r="B460" s="29"/>
      <c r="C460" s="29"/>
      <c r="D460" s="48" t="str">
        <f>IFERROR(VLOOKUP(Tabela1[[#This Row],[Tag]],TAGS!$J$1:$K$9,2,0),"")</f>
        <v/>
      </c>
      <c r="E460" s="29"/>
      <c r="F460" s="30"/>
      <c r="G460" s="31"/>
      <c r="H460" s="31"/>
      <c r="I460" s="4" t="str">
        <f t="shared" si="11"/>
        <v/>
      </c>
      <c r="J460" s="5" t="str">
        <f>IF(Tabela1[[#This Row],[Caixa]]="Receita","Recebido",IF(G460="","",IF(H460="","",IF(H460&gt;G460,"Pago atrasado",IF(H460&lt;=G460,"Pago","Aguardando")))))</f>
        <v/>
      </c>
    </row>
    <row r="461" spans="1:10" ht="21" customHeight="1" x14ac:dyDescent="0.2">
      <c r="A461" s="28"/>
      <c r="B461" s="29"/>
      <c r="C461" s="29"/>
      <c r="D461" s="48" t="str">
        <f>IFERROR(VLOOKUP(Tabela1[[#This Row],[Tag]],TAGS!$J$1:$K$9,2,0),"")</f>
        <v/>
      </c>
      <c r="E461" s="29"/>
      <c r="F461" s="30"/>
      <c r="G461" s="31"/>
      <c r="H461" s="31"/>
      <c r="I461" s="4" t="str">
        <f t="shared" si="11"/>
        <v/>
      </c>
      <c r="J461" s="5" t="str">
        <f>IF(Tabela1[[#This Row],[Caixa]]="Receita","Recebido",IF(G461="","",IF(H461="","",IF(H461&gt;G461,"Pago atrasado",IF(H461&lt;=G461,"Pago","Aguardando")))))</f>
        <v/>
      </c>
    </row>
    <row r="462" spans="1:10" ht="21" customHeight="1" x14ac:dyDescent="0.2">
      <c r="A462" s="28"/>
      <c r="B462" s="29"/>
      <c r="C462" s="29"/>
      <c r="D462" s="48" t="str">
        <f>IFERROR(VLOOKUP(Tabela1[[#This Row],[Tag]],TAGS!$J$1:$K$9,2,0),"")</f>
        <v/>
      </c>
      <c r="E462" s="29"/>
      <c r="F462" s="30"/>
      <c r="G462" s="31"/>
      <c r="H462" s="31"/>
      <c r="I462" s="4" t="str">
        <f t="shared" si="11"/>
        <v/>
      </c>
      <c r="J462" s="5" t="str">
        <f>IF(Tabela1[[#This Row],[Caixa]]="Receita","Recebido",IF(G462="","",IF(H462="","",IF(H462&gt;G462,"Pago atrasado",IF(H462&lt;=G462,"Pago","Aguardando")))))</f>
        <v/>
      </c>
    </row>
    <row r="463" spans="1:10" ht="21" customHeight="1" x14ac:dyDescent="0.2">
      <c r="A463" s="28"/>
      <c r="B463" s="29"/>
      <c r="C463" s="29"/>
      <c r="D463" s="48" t="str">
        <f>IFERROR(VLOOKUP(Tabela1[[#This Row],[Tag]],TAGS!$J$1:$K$9,2,0),"")</f>
        <v/>
      </c>
      <c r="E463" s="29"/>
      <c r="F463" s="30"/>
      <c r="G463" s="31"/>
      <c r="H463" s="31"/>
      <c r="I463" s="4" t="str">
        <f t="shared" si="11"/>
        <v/>
      </c>
      <c r="J463" s="5" t="str">
        <f>IF(Tabela1[[#This Row],[Caixa]]="Receita","Recebido",IF(G463="","",IF(H463="","",IF(H463&gt;G463,"Pago atrasado",IF(H463&lt;=G463,"Pago","Aguardando")))))</f>
        <v/>
      </c>
    </row>
    <row r="464" spans="1:10" ht="21" customHeight="1" x14ac:dyDescent="0.2">
      <c r="A464" s="28"/>
      <c r="B464" s="29"/>
      <c r="C464" s="29"/>
      <c r="D464" s="48" t="str">
        <f>IFERROR(VLOOKUP(Tabela1[[#This Row],[Tag]],TAGS!$J$1:$K$9,2,0),"")</f>
        <v/>
      </c>
      <c r="E464" s="29"/>
      <c r="F464" s="30"/>
      <c r="G464" s="31"/>
      <c r="H464" s="31"/>
      <c r="I464" s="4" t="str">
        <f t="shared" si="11"/>
        <v/>
      </c>
      <c r="J464" s="5" t="str">
        <f>IF(Tabela1[[#This Row],[Caixa]]="Receita","Recebido",IF(G464="","",IF(H464="","",IF(H464&gt;G464,"Pago atrasado",IF(H464&lt;=G464,"Pago","Aguardando")))))</f>
        <v/>
      </c>
    </row>
    <row r="465" spans="1:10" ht="21" customHeight="1" x14ac:dyDescent="0.2">
      <c r="A465" s="28"/>
      <c r="B465" s="29"/>
      <c r="C465" s="29"/>
      <c r="D465" s="48" t="str">
        <f>IFERROR(VLOOKUP(Tabela1[[#This Row],[Tag]],TAGS!$J$1:$K$9,2,0),"")</f>
        <v/>
      </c>
      <c r="E465" s="29"/>
      <c r="F465" s="30"/>
      <c r="G465" s="31"/>
      <c r="H465" s="31"/>
      <c r="I465" s="4" t="str">
        <f t="shared" si="11"/>
        <v/>
      </c>
      <c r="J465" s="5" t="str">
        <f>IF(Tabela1[[#This Row],[Caixa]]="Receita","Recebido",IF(G465="","",IF(H465="","",IF(H465&gt;G465,"Pago atrasado",IF(H465&lt;=G465,"Pago","Aguardando")))))</f>
        <v/>
      </c>
    </row>
    <row r="466" spans="1:10" ht="21" customHeight="1" x14ac:dyDescent="0.2">
      <c r="A466" s="28"/>
      <c r="B466" s="29"/>
      <c r="C466" s="29"/>
      <c r="D466" s="48" t="str">
        <f>IFERROR(VLOOKUP(Tabela1[[#This Row],[Tag]],TAGS!$J$1:$K$9,2,0),"")</f>
        <v/>
      </c>
      <c r="E466" s="29"/>
      <c r="F466" s="30"/>
      <c r="G466" s="31"/>
      <c r="H466" s="31"/>
      <c r="I466" s="4" t="str">
        <f t="shared" si="11"/>
        <v/>
      </c>
      <c r="J466" s="5" t="str">
        <f>IF(Tabela1[[#This Row],[Caixa]]="Receita","Recebido",IF(G466="","",IF(H466="","",IF(H466&gt;G466,"Pago atrasado",IF(H466&lt;=G466,"Pago","Aguardando")))))</f>
        <v/>
      </c>
    </row>
    <row r="467" spans="1:10" ht="21" customHeight="1" x14ac:dyDescent="0.2">
      <c r="A467" s="28"/>
      <c r="B467" s="29"/>
      <c r="C467" s="29"/>
      <c r="D467" s="48" t="str">
        <f>IFERROR(VLOOKUP(Tabela1[[#This Row],[Tag]],TAGS!$J$1:$K$9,2,0),"")</f>
        <v/>
      </c>
      <c r="E467" s="29"/>
      <c r="F467" s="30"/>
      <c r="G467" s="31"/>
      <c r="H467" s="31"/>
      <c r="I467" s="4" t="str">
        <f t="shared" si="11"/>
        <v/>
      </c>
      <c r="J467" s="5" t="str">
        <f>IF(Tabela1[[#This Row],[Caixa]]="Receita","Recebido",IF(G467="","",IF(H467="","",IF(H467&gt;G467,"Pago atrasado",IF(H467&lt;=G467,"Pago","Aguardando")))))</f>
        <v/>
      </c>
    </row>
    <row r="468" spans="1:10" ht="21" customHeight="1" x14ac:dyDescent="0.2">
      <c r="A468" s="28"/>
      <c r="B468" s="29"/>
      <c r="C468" s="29"/>
      <c r="D468" s="48" t="str">
        <f>IFERROR(VLOOKUP(Tabela1[[#This Row],[Tag]],TAGS!$J$1:$K$9,2,0),"")</f>
        <v/>
      </c>
      <c r="E468" s="29"/>
      <c r="F468" s="30"/>
      <c r="G468" s="31"/>
      <c r="H468" s="31"/>
      <c r="I468" s="4" t="str">
        <f t="shared" si="11"/>
        <v/>
      </c>
      <c r="J468" s="5" t="str">
        <f>IF(Tabela1[[#This Row],[Caixa]]="Receita","Recebido",IF(G468="","",IF(H468="","",IF(H468&gt;G468,"Pago atrasado",IF(H468&lt;=G468,"Pago","Aguardando")))))</f>
        <v/>
      </c>
    </row>
    <row r="469" spans="1:10" ht="21" customHeight="1" x14ac:dyDescent="0.2">
      <c r="A469" s="28"/>
      <c r="B469" s="29"/>
      <c r="C469" s="29"/>
      <c r="D469" s="48" t="str">
        <f>IFERROR(VLOOKUP(Tabela1[[#This Row],[Tag]],TAGS!$J$1:$K$9,2,0),"")</f>
        <v/>
      </c>
      <c r="E469" s="29"/>
      <c r="F469" s="30"/>
      <c r="G469" s="31"/>
      <c r="H469" s="31"/>
      <c r="I469" s="4" t="str">
        <f t="shared" si="11"/>
        <v/>
      </c>
      <c r="J469" s="5" t="str">
        <f>IF(Tabela1[[#This Row],[Caixa]]="Receita","Recebido",IF(G469="","",IF(H469="","",IF(H469&gt;G469,"Pago atrasado",IF(H469&lt;=G469,"Pago","Aguardando")))))</f>
        <v/>
      </c>
    </row>
    <row r="470" spans="1:10" ht="21" customHeight="1" x14ac:dyDescent="0.2">
      <c r="A470" s="28"/>
      <c r="B470" s="29"/>
      <c r="C470" s="29"/>
      <c r="D470" s="48" t="str">
        <f>IFERROR(VLOOKUP(Tabela1[[#This Row],[Tag]],TAGS!$J$1:$K$9,2,0),"")</f>
        <v/>
      </c>
      <c r="E470" s="29"/>
      <c r="F470" s="30"/>
      <c r="G470" s="31"/>
      <c r="H470" s="31"/>
      <c r="I470" s="4" t="str">
        <f t="shared" si="11"/>
        <v/>
      </c>
      <c r="J470" s="5" t="str">
        <f>IF(Tabela1[[#This Row],[Caixa]]="Receita","Recebido",IF(G470="","",IF(H470="","",IF(H470&gt;G470,"Pago atrasado",IF(H470&lt;=G470,"Pago","Aguardando")))))</f>
        <v/>
      </c>
    </row>
    <row r="471" spans="1:10" ht="21" customHeight="1" x14ac:dyDescent="0.2">
      <c r="A471" s="28"/>
      <c r="B471" s="29"/>
      <c r="C471" s="29"/>
      <c r="D471" s="48" t="str">
        <f>IFERROR(VLOOKUP(Tabela1[[#This Row],[Tag]],TAGS!$J$1:$K$9,2,0),"")</f>
        <v/>
      </c>
      <c r="E471" s="29"/>
      <c r="F471" s="30"/>
      <c r="G471" s="31"/>
      <c r="H471" s="31"/>
      <c r="I471" s="4" t="str">
        <f t="shared" si="11"/>
        <v/>
      </c>
      <c r="J471" s="5" t="str">
        <f>IF(Tabela1[[#This Row],[Caixa]]="Receita","Recebido",IF(G471="","",IF(H471="","",IF(H471&gt;G471,"Pago atrasado",IF(H471&lt;=G471,"Pago","Aguardando")))))</f>
        <v/>
      </c>
    </row>
    <row r="472" spans="1:10" ht="21" customHeight="1" x14ac:dyDescent="0.2">
      <c r="A472" s="28"/>
      <c r="B472" s="29"/>
      <c r="C472" s="29"/>
      <c r="D472" s="48" t="str">
        <f>IFERROR(VLOOKUP(Tabela1[[#This Row],[Tag]],TAGS!$J$1:$K$9,2,0),"")</f>
        <v/>
      </c>
      <c r="E472" s="29"/>
      <c r="F472" s="30"/>
      <c r="G472" s="31"/>
      <c r="H472" s="31"/>
      <c r="I472" s="4" t="str">
        <f t="shared" si="11"/>
        <v/>
      </c>
      <c r="J472" s="5" t="str">
        <f>IF(Tabela1[[#This Row],[Caixa]]="Receita","Recebido",IF(G472="","",IF(H472="","",IF(H472&gt;G472,"Pago atrasado",IF(H472&lt;=G472,"Pago","Aguardando")))))</f>
        <v/>
      </c>
    </row>
    <row r="473" spans="1:10" ht="21" customHeight="1" x14ac:dyDescent="0.2">
      <c r="A473" s="28"/>
      <c r="B473" s="29"/>
      <c r="C473" s="29"/>
      <c r="D473" s="48" t="str">
        <f>IFERROR(VLOOKUP(Tabela1[[#This Row],[Tag]],TAGS!$J$1:$K$9,2,0),"")</f>
        <v/>
      </c>
      <c r="E473" s="29"/>
      <c r="F473" s="30"/>
      <c r="G473" s="31"/>
      <c r="H473" s="31"/>
      <c r="I473" s="4" t="str">
        <f t="shared" si="11"/>
        <v/>
      </c>
      <c r="J473" s="5" t="str">
        <f>IF(Tabela1[[#This Row],[Caixa]]="Receita","Recebido",IF(G473="","",IF(H473="","",IF(H473&gt;G473,"Pago atrasado",IF(H473&lt;=G473,"Pago","Aguardando")))))</f>
        <v/>
      </c>
    </row>
    <row r="474" spans="1:10" ht="21" customHeight="1" x14ac:dyDescent="0.2">
      <c r="A474" s="28"/>
      <c r="B474" s="29"/>
      <c r="C474" s="29"/>
      <c r="D474" s="48" t="str">
        <f>IFERROR(VLOOKUP(Tabela1[[#This Row],[Tag]],TAGS!$J$1:$K$9,2,0),"")</f>
        <v/>
      </c>
      <c r="E474" s="29"/>
      <c r="F474" s="30"/>
      <c r="G474" s="31"/>
      <c r="H474" s="31"/>
      <c r="I474" s="4" t="str">
        <f t="shared" si="11"/>
        <v/>
      </c>
      <c r="J474" s="5" t="str">
        <f>IF(Tabela1[[#This Row],[Caixa]]="Receita","Recebido",IF(G474="","",IF(H474="","",IF(H474&gt;G474,"Pago atrasado",IF(H474&lt;=G474,"Pago","Aguardando")))))</f>
        <v/>
      </c>
    </row>
    <row r="475" spans="1:10" ht="21" customHeight="1" x14ac:dyDescent="0.2">
      <c r="A475" s="28"/>
      <c r="B475" s="29"/>
      <c r="C475" s="29"/>
      <c r="D475" s="48" t="str">
        <f>IFERROR(VLOOKUP(Tabela1[[#This Row],[Tag]],TAGS!$J$1:$K$9,2,0),"")</f>
        <v/>
      </c>
      <c r="E475" s="29"/>
      <c r="F475" s="30"/>
      <c r="G475" s="31"/>
      <c r="H475" s="31"/>
      <c r="I475" s="4" t="str">
        <f t="shared" si="11"/>
        <v/>
      </c>
      <c r="J475" s="5" t="str">
        <f>IF(Tabela1[[#This Row],[Caixa]]="Receita","Recebido",IF(G475="","",IF(H475="","",IF(H475&gt;G475,"Pago atrasado",IF(H475&lt;=G475,"Pago","Aguardando")))))</f>
        <v/>
      </c>
    </row>
    <row r="476" spans="1:10" ht="21" customHeight="1" x14ac:dyDescent="0.2">
      <c r="A476" s="28"/>
      <c r="B476" s="29"/>
      <c r="C476" s="29"/>
      <c r="D476" s="48" t="str">
        <f>IFERROR(VLOOKUP(Tabela1[[#This Row],[Tag]],TAGS!$J$1:$K$9,2,0),"")</f>
        <v/>
      </c>
      <c r="E476" s="29"/>
      <c r="F476" s="30"/>
      <c r="G476" s="31"/>
      <c r="H476" s="31"/>
      <c r="I476" s="4" t="str">
        <f t="shared" si="11"/>
        <v/>
      </c>
      <c r="J476" s="5" t="str">
        <f>IF(Tabela1[[#This Row],[Caixa]]="Receita","Recebido",IF(G476="","",IF(H476="","",IF(H476&gt;G476,"Pago atrasado",IF(H476&lt;=G476,"Pago","Aguardando")))))</f>
        <v/>
      </c>
    </row>
    <row r="477" spans="1:10" ht="21" customHeight="1" x14ac:dyDescent="0.2">
      <c r="A477" s="28"/>
      <c r="B477" s="29"/>
      <c r="C477" s="29"/>
      <c r="D477" s="48" t="str">
        <f>IFERROR(VLOOKUP(Tabela1[[#This Row],[Tag]],TAGS!$J$1:$K$9,2,0),"")</f>
        <v/>
      </c>
      <c r="E477" s="29"/>
      <c r="F477" s="30"/>
      <c r="G477" s="31"/>
      <c r="H477" s="31"/>
      <c r="I477" s="4" t="str">
        <f t="shared" si="11"/>
        <v/>
      </c>
      <c r="J477" s="5" t="str">
        <f>IF(Tabela1[[#This Row],[Caixa]]="Receita","Recebido",IF(G477="","",IF(H477="","",IF(H477&gt;G477,"Pago atrasado",IF(H477&lt;=G477,"Pago","Aguardando")))))</f>
        <v/>
      </c>
    </row>
    <row r="478" spans="1:10" ht="21" customHeight="1" x14ac:dyDescent="0.2">
      <c r="A478" s="28"/>
      <c r="B478" s="29"/>
      <c r="C478" s="29"/>
      <c r="D478" s="48" t="str">
        <f>IFERROR(VLOOKUP(Tabela1[[#This Row],[Tag]],TAGS!$J$1:$K$9,2,0),"")</f>
        <v/>
      </c>
      <c r="E478" s="29"/>
      <c r="F478" s="30"/>
      <c r="G478" s="31"/>
      <c r="H478" s="31"/>
      <c r="I478" s="4" t="str">
        <f t="shared" si="11"/>
        <v/>
      </c>
      <c r="J478" s="5" t="str">
        <f>IF(Tabela1[[#This Row],[Caixa]]="Receita","Recebido",IF(G478="","",IF(H478="","",IF(H478&gt;G478,"Pago atrasado",IF(H478&lt;=G478,"Pago","Aguardando")))))</f>
        <v/>
      </c>
    </row>
    <row r="479" spans="1:10" ht="21" customHeight="1" x14ac:dyDescent="0.2">
      <c r="A479" s="28"/>
      <c r="B479" s="29"/>
      <c r="C479" s="29"/>
      <c r="D479" s="48" t="str">
        <f>IFERROR(VLOOKUP(Tabela1[[#This Row],[Tag]],TAGS!$J$1:$K$9,2,0),"")</f>
        <v/>
      </c>
      <c r="E479" s="29"/>
      <c r="F479" s="30"/>
      <c r="G479" s="31"/>
      <c r="H479" s="31"/>
      <c r="I479" s="4" t="str">
        <f t="shared" si="11"/>
        <v/>
      </c>
      <c r="J479" s="5" t="str">
        <f>IF(Tabela1[[#This Row],[Caixa]]="Receita","Recebido",IF(G479="","",IF(H479="","",IF(H479&gt;G479,"Pago atrasado",IF(H479&lt;=G479,"Pago","Aguardando")))))</f>
        <v/>
      </c>
    </row>
    <row r="480" spans="1:10" ht="21" customHeight="1" x14ac:dyDescent="0.2">
      <c r="A480" s="28"/>
      <c r="B480" s="29"/>
      <c r="C480" s="29"/>
      <c r="D480" s="48" t="str">
        <f>IFERROR(VLOOKUP(Tabela1[[#This Row],[Tag]],TAGS!$J$1:$K$9,2,0),"")</f>
        <v/>
      </c>
      <c r="E480" s="29"/>
      <c r="F480" s="30"/>
      <c r="G480" s="31"/>
      <c r="H480" s="31"/>
      <c r="I480" s="4" t="str">
        <f t="shared" si="11"/>
        <v/>
      </c>
      <c r="J480" s="5" t="str">
        <f>IF(Tabela1[[#This Row],[Caixa]]="Receita","Recebido",IF(G480="","",IF(H480="","",IF(H480&gt;G480,"Pago atrasado",IF(H480&lt;=G480,"Pago","Aguardando")))))</f>
        <v/>
      </c>
    </row>
    <row r="481" spans="1:10" ht="21" customHeight="1" x14ac:dyDescent="0.2">
      <c r="A481" s="28"/>
      <c r="B481" s="29"/>
      <c r="C481" s="29"/>
      <c r="D481" s="48" t="str">
        <f>IFERROR(VLOOKUP(Tabela1[[#This Row],[Tag]],TAGS!$J$1:$K$9,2,0),"")</f>
        <v/>
      </c>
      <c r="E481" s="29"/>
      <c r="F481" s="30"/>
      <c r="G481" s="31"/>
      <c r="H481" s="31"/>
      <c r="I481" s="4" t="str">
        <f t="shared" si="11"/>
        <v/>
      </c>
      <c r="J481" s="5" t="str">
        <f>IF(Tabela1[[#This Row],[Caixa]]="Receita","Recebido",IF(G481="","",IF(H481="","",IF(H481&gt;G481,"Pago atrasado",IF(H481&lt;=G481,"Pago","Aguardando")))))</f>
        <v/>
      </c>
    </row>
    <row r="482" spans="1:10" ht="21" customHeight="1" x14ac:dyDescent="0.2">
      <c r="A482" s="28"/>
      <c r="B482" s="29"/>
      <c r="C482" s="29"/>
      <c r="D482" s="48" t="str">
        <f>IFERROR(VLOOKUP(Tabela1[[#This Row],[Tag]],TAGS!$J$1:$K$9,2,0),"")</f>
        <v/>
      </c>
      <c r="E482" s="29"/>
      <c r="F482" s="30"/>
      <c r="G482" s="31"/>
      <c r="H482" s="31"/>
      <c r="I482" s="4" t="str">
        <f t="shared" si="11"/>
        <v/>
      </c>
      <c r="J482" s="5" t="str">
        <f>IF(Tabela1[[#This Row],[Caixa]]="Receita","Recebido",IF(G482="","",IF(H482="","",IF(H482&gt;G482,"Pago atrasado",IF(H482&lt;=G482,"Pago","Aguardando")))))</f>
        <v/>
      </c>
    </row>
    <row r="483" spans="1:10" ht="21" customHeight="1" x14ac:dyDescent="0.2">
      <c r="A483" s="28"/>
      <c r="B483" s="29"/>
      <c r="C483" s="29"/>
      <c r="D483" s="48" t="str">
        <f>IFERROR(VLOOKUP(Tabela1[[#This Row],[Tag]],TAGS!$J$1:$K$9,2,0),"")</f>
        <v/>
      </c>
      <c r="E483" s="29"/>
      <c r="F483" s="30"/>
      <c r="G483" s="31"/>
      <c r="H483" s="31"/>
      <c r="I483" s="4" t="str">
        <f t="shared" si="11"/>
        <v/>
      </c>
      <c r="J483" s="5" t="str">
        <f>IF(Tabela1[[#This Row],[Caixa]]="Receita","Recebido",IF(G483="","",IF(H483="","",IF(H483&gt;G483,"Pago atrasado",IF(H483&lt;=G483,"Pago","Aguardando")))))</f>
        <v/>
      </c>
    </row>
    <row r="484" spans="1:10" ht="21" customHeight="1" x14ac:dyDescent="0.2">
      <c r="A484" s="28"/>
      <c r="B484" s="29"/>
      <c r="C484" s="29"/>
      <c r="D484" s="48" t="str">
        <f>IFERROR(VLOOKUP(Tabela1[[#This Row],[Tag]],TAGS!$J$1:$K$9,2,0),"")</f>
        <v/>
      </c>
      <c r="E484" s="29"/>
      <c r="F484" s="30"/>
      <c r="G484" s="31"/>
      <c r="H484" s="31"/>
      <c r="I484" s="4" t="str">
        <f t="shared" si="11"/>
        <v/>
      </c>
      <c r="J484" s="5" t="str">
        <f>IF(Tabela1[[#This Row],[Caixa]]="Receita","Recebido",IF(G484="","",IF(H484="","",IF(H484&gt;G484,"Pago atrasado",IF(H484&lt;=G484,"Pago","Aguardando")))))</f>
        <v/>
      </c>
    </row>
    <row r="485" spans="1:10" ht="21" customHeight="1" x14ac:dyDescent="0.2">
      <c r="A485" s="28"/>
      <c r="B485" s="29"/>
      <c r="C485" s="29"/>
      <c r="D485" s="48" t="str">
        <f>IFERROR(VLOOKUP(Tabela1[[#This Row],[Tag]],TAGS!$J$1:$K$9,2,0),"")</f>
        <v/>
      </c>
      <c r="E485" s="29"/>
      <c r="F485" s="30"/>
      <c r="G485" s="31"/>
      <c r="H485" s="31"/>
      <c r="I485" s="4" t="str">
        <f t="shared" si="11"/>
        <v/>
      </c>
      <c r="J485" s="5" t="str">
        <f>IF(Tabela1[[#This Row],[Caixa]]="Receita","Recebido",IF(G485="","",IF(H485="","",IF(H485&gt;G485,"Pago atrasado",IF(H485&lt;=G485,"Pago","Aguardando")))))</f>
        <v/>
      </c>
    </row>
    <row r="486" spans="1:10" ht="21" customHeight="1" x14ac:dyDescent="0.2">
      <c r="A486" s="28"/>
      <c r="B486" s="29"/>
      <c r="C486" s="29"/>
      <c r="D486" s="48" t="str">
        <f>IFERROR(VLOOKUP(Tabela1[[#This Row],[Tag]],TAGS!$J$1:$K$9,2,0),"")</f>
        <v/>
      </c>
      <c r="E486" s="29"/>
      <c r="F486" s="30"/>
      <c r="G486" s="31"/>
      <c r="H486" s="31"/>
      <c r="I486" s="4" t="str">
        <f t="shared" si="11"/>
        <v/>
      </c>
      <c r="J486" s="5" t="str">
        <f>IF(Tabela1[[#This Row],[Caixa]]="Receita","Recebido",IF(G486="","",IF(H486="","",IF(H486&gt;G486,"Pago atrasado",IF(H486&lt;=G486,"Pago","Aguardando")))))</f>
        <v/>
      </c>
    </row>
    <row r="487" spans="1:10" ht="21" customHeight="1" x14ac:dyDescent="0.2">
      <c r="A487" s="28"/>
      <c r="B487" s="29"/>
      <c r="C487" s="29"/>
      <c r="D487" s="48" t="str">
        <f>IFERROR(VLOOKUP(Tabela1[[#This Row],[Tag]],TAGS!$J$1:$K$9,2,0),"")</f>
        <v/>
      </c>
      <c r="E487" s="29"/>
      <c r="F487" s="30"/>
      <c r="G487" s="31"/>
      <c r="H487" s="31"/>
      <c r="I487" s="4" t="str">
        <f t="shared" si="11"/>
        <v/>
      </c>
      <c r="J487" s="5" t="str">
        <f>IF(Tabela1[[#This Row],[Caixa]]="Receita","Recebido",IF(G487="","",IF(H487="","",IF(H487&gt;G487,"Pago atrasado",IF(H487&lt;=G487,"Pago","Aguardando")))))</f>
        <v/>
      </c>
    </row>
    <row r="488" spans="1:10" ht="21" customHeight="1" x14ac:dyDescent="0.2">
      <c r="A488" s="28"/>
      <c r="B488" s="29"/>
      <c r="C488" s="29"/>
      <c r="D488" s="48" t="str">
        <f>IFERROR(VLOOKUP(Tabela1[[#This Row],[Tag]],TAGS!$J$1:$K$9,2,0),"")</f>
        <v/>
      </c>
      <c r="E488" s="29"/>
      <c r="F488" s="30"/>
      <c r="G488" s="31"/>
      <c r="H488" s="31"/>
      <c r="I488" s="4" t="str">
        <f t="shared" si="11"/>
        <v/>
      </c>
      <c r="J488" s="5" t="str">
        <f>IF(Tabela1[[#This Row],[Caixa]]="Receita","Recebido",IF(G488="","",IF(H488="","",IF(H488&gt;G488,"Pago atrasado",IF(H488&lt;=G488,"Pago","Aguardando")))))</f>
        <v/>
      </c>
    </row>
    <row r="489" spans="1:10" ht="21" customHeight="1" x14ac:dyDescent="0.2">
      <c r="A489" s="28"/>
      <c r="B489" s="29"/>
      <c r="C489" s="29"/>
      <c r="D489" s="48" t="str">
        <f>IFERROR(VLOOKUP(Tabela1[[#This Row],[Tag]],TAGS!$J$1:$K$9,2,0),"")</f>
        <v/>
      </c>
      <c r="E489" s="29"/>
      <c r="F489" s="30"/>
      <c r="G489" s="31"/>
      <c r="H489" s="31"/>
      <c r="I489" s="4" t="str">
        <f t="shared" si="11"/>
        <v/>
      </c>
      <c r="J489" s="5" t="str">
        <f>IF(Tabela1[[#This Row],[Caixa]]="Receita","Recebido",IF(G489="","",IF(H489="","",IF(H489&gt;G489,"Pago atrasado",IF(H489&lt;=G489,"Pago","Aguardando")))))</f>
        <v/>
      </c>
    </row>
    <row r="490" spans="1:10" ht="21" customHeight="1" x14ac:dyDescent="0.2">
      <c r="A490" s="28"/>
      <c r="B490" s="29"/>
      <c r="C490" s="29"/>
      <c r="D490" s="48" t="str">
        <f>IFERROR(VLOOKUP(Tabela1[[#This Row],[Tag]],TAGS!$J$1:$K$9,2,0),"")</f>
        <v/>
      </c>
      <c r="E490" s="29"/>
      <c r="F490" s="30"/>
      <c r="G490" s="31"/>
      <c r="H490" s="31"/>
      <c r="I490" s="4" t="str">
        <f t="shared" si="11"/>
        <v/>
      </c>
      <c r="J490" s="5" t="str">
        <f>IF(Tabela1[[#This Row],[Caixa]]="Receita","Recebido",IF(G490="","",IF(H490="","",IF(H490&gt;G490,"Pago atrasado",IF(H490&lt;=G490,"Pago","Aguardando")))))</f>
        <v/>
      </c>
    </row>
    <row r="491" spans="1:10" ht="21" customHeight="1" x14ac:dyDescent="0.2">
      <c r="A491" s="28"/>
      <c r="B491" s="29"/>
      <c r="C491" s="29"/>
      <c r="D491" s="48" t="str">
        <f>IFERROR(VLOOKUP(Tabela1[[#This Row],[Tag]],TAGS!$J$1:$K$9,2,0),"")</f>
        <v/>
      </c>
      <c r="E491" s="29"/>
      <c r="F491" s="30"/>
      <c r="G491" s="31"/>
      <c r="H491" s="31"/>
      <c r="I491" s="4" t="str">
        <f t="shared" si="11"/>
        <v/>
      </c>
      <c r="J491" s="5" t="str">
        <f>IF(Tabela1[[#This Row],[Caixa]]="Receita","Recebido",IF(G491="","",IF(H491="","",IF(H491&gt;G491,"Pago atrasado",IF(H491&lt;=G491,"Pago","Aguardando")))))</f>
        <v/>
      </c>
    </row>
    <row r="492" spans="1:10" ht="21" customHeight="1" x14ac:dyDescent="0.2">
      <c r="A492" s="28"/>
      <c r="B492" s="29"/>
      <c r="C492" s="29"/>
      <c r="D492" s="48" t="str">
        <f>IFERROR(VLOOKUP(Tabela1[[#This Row],[Tag]],TAGS!$J$1:$K$9,2,0),"")</f>
        <v/>
      </c>
      <c r="E492" s="29"/>
      <c r="F492" s="30"/>
      <c r="G492" s="31"/>
      <c r="H492" s="31"/>
      <c r="I492" s="4" t="str">
        <f t="shared" si="11"/>
        <v/>
      </c>
      <c r="J492" s="5" t="str">
        <f>IF(Tabela1[[#This Row],[Caixa]]="Receita","Recebido",IF(G492="","",IF(H492="","",IF(H492&gt;G492,"Pago atrasado",IF(H492&lt;=G492,"Pago","Aguardando")))))</f>
        <v/>
      </c>
    </row>
    <row r="493" spans="1:10" ht="21" customHeight="1" x14ac:dyDescent="0.2">
      <c r="A493" s="28"/>
      <c r="B493" s="29"/>
      <c r="C493" s="29"/>
      <c r="D493" s="48" t="str">
        <f>IFERROR(VLOOKUP(Tabela1[[#This Row],[Tag]],TAGS!$J$1:$K$9,2,0),"")</f>
        <v/>
      </c>
      <c r="E493" s="29"/>
      <c r="F493" s="30"/>
      <c r="G493" s="31"/>
      <c r="H493" s="31"/>
      <c r="I493" s="4" t="str">
        <f t="shared" si="11"/>
        <v/>
      </c>
      <c r="J493" s="5" t="str">
        <f>IF(Tabela1[[#This Row],[Caixa]]="Receita","Recebido",IF(G493="","",IF(H493="","",IF(H493&gt;G493,"Pago atrasado",IF(H493&lt;=G493,"Pago","Aguardando")))))</f>
        <v/>
      </c>
    </row>
    <row r="494" spans="1:10" ht="21" customHeight="1" x14ac:dyDescent="0.2">
      <c r="A494" s="28"/>
      <c r="B494" s="29"/>
      <c r="C494" s="29"/>
      <c r="D494" s="48" t="str">
        <f>IFERROR(VLOOKUP(Tabela1[[#This Row],[Tag]],TAGS!$J$1:$K$9,2,0),"")</f>
        <v/>
      </c>
      <c r="E494" s="29"/>
      <c r="F494" s="30"/>
      <c r="G494" s="31"/>
      <c r="H494" s="31"/>
      <c r="I494" s="4" t="str">
        <f t="shared" si="11"/>
        <v/>
      </c>
      <c r="J494" s="5" t="str">
        <f>IF(Tabela1[[#This Row],[Caixa]]="Receita","Recebido",IF(G494="","",IF(H494="","",IF(H494&gt;G494,"Pago atrasado",IF(H494&lt;=G494,"Pago","Aguardando")))))</f>
        <v/>
      </c>
    </row>
    <row r="495" spans="1:10" ht="21" customHeight="1" x14ac:dyDescent="0.2">
      <c r="A495" s="28"/>
      <c r="B495" s="29"/>
      <c r="C495" s="29"/>
      <c r="D495" s="48" t="str">
        <f>IFERROR(VLOOKUP(Tabela1[[#This Row],[Tag]],TAGS!$J$1:$K$9,2,0),"")</f>
        <v/>
      </c>
      <c r="E495" s="29"/>
      <c r="F495" s="30"/>
      <c r="G495" s="31"/>
      <c r="H495" s="31"/>
      <c r="I495" s="4" t="str">
        <f t="shared" si="11"/>
        <v/>
      </c>
      <c r="J495" s="5" t="str">
        <f>IF(Tabela1[[#This Row],[Caixa]]="Receita","Recebido",IF(G495="","",IF(H495="","",IF(H495&gt;G495,"Pago atrasado",IF(H495&lt;=G495,"Pago","Aguardando")))))</f>
        <v/>
      </c>
    </row>
    <row r="496" spans="1:10" ht="21" customHeight="1" x14ac:dyDescent="0.2">
      <c r="A496" s="28"/>
      <c r="B496" s="29"/>
      <c r="C496" s="29"/>
      <c r="D496" s="48" t="str">
        <f>IFERROR(VLOOKUP(Tabela1[[#This Row],[Tag]],TAGS!$J$1:$K$9,2,0),"")</f>
        <v/>
      </c>
      <c r="E496" s="29"/>
      <c r="F496" s="30"/>
      <c r="G496" s="31"/>
      <c r="H496" s="31"/>
      <c r="I496" s="4" t="str">
        <f t="shared" si="11"/>
        <v/>
      </c>
      <c r="J496" s="5" t="str">
        <f>IF(Tabela1[[#This Row],[Caixa]]="Receita","Recebido",IF(G496="","",IF(H496="","",IF(H496&gt;G496,"Pago atrasado",IF(H496&lt;=G496,"Pago","Aguardando")))))</f>
        <v/>
      </c>
    </row>
    <row r="497" spans="1:10" ht="21" customHeight="1" x14ac:dyDescent="0.2">
      <c r="A497" s="28"/>
      <c r="B497" s="29"/>
      <c r="C497" s="29"/>
      <c r="D497" s="48" t="str">
        <f>IFERROR(VLOOKUP(Tabela1[[#This Row],[Tag]],TAGS!$J$1:$K$9,2,0),"")</f>
        <v/>
      </c>
      <c r="E497" s="29"/>
      <c r="F497" s="30"/>
      <c r="G497" s="31"/>
      <c r="H497" s="31"/>
      <c r="I497" s="4" t="str">
        <f t="shared" ref="I497:I531" si="12">IF(G497="","",TEXT(G497,"mmmm"))</f>
        <v/>
      </c>
      <c r="J497" s="5" t="str">
        <f>IF(Tabela1[[#This Row],[Caixa]]="Receita","Recebido",IF(G497="","",IF(H497="","",IF(H497&gt;G497,"Pago atrasado",IF(H497&lt;=G497,"Pago","Aguardando")))))</f>
        <v/>
      </c>
    </row>
    <row r="498" spans="1:10" ht="21" customHeight="1" x14ac:dyDescent="0.2">
      <c r="A498" s="28"/>
      <c r="B498" s="29"/>
      <c r="C498" s="29"/>
      <c r="D498" s="48" t="str">
        <f>IFERROR(VLOOKUP(Tabela1[[#This Row],[Tag]],TAGS!$J$1:$K$9,2,0),"")</f>
        <v/>
      </c>
      <c r="E498" s="29"/>
      <c r="F498" s="30"/>
      <c r="G498" s="31"/>
      <c r="H498" s="31"/>
      <c r="I498" s="4" t="str">
        <f t="shared" si="12"/>
        <v/>
      </c>
      <c r="J498" s="5" t="str">
        <f>IF(Tabela1[[#This Row],[Caixa]]="Receita","Recebido",IF(G498="","",IF(H498="","",IF(H498&gt;G498,"Pago atrasado",IF(H498&lt;=G498,"Pago","Aguardando")))))</f>
        <v/>
      </c>
    </row>
    <row r="499" spans="1:10" ht="21" customHeight="1" x14ac:dyDescent="0.2">
      <c r="A499" s="28"/>
      <c r="B499" s="29"/>
      <c r="C499" s="29"/>
      <c r="D499" s="48" t="str">
        <f>IFERROR(VLOOKUP(Tabela1[[#This Row],[Tag]],TAGS!$J$1:$K$9,2,0),"")</f>
        <v/>
      </c>
      <c r="E499" s="29"/>
      <c r="F499" s="30"/>
      <c r="G499" s="31"/>
      <c r="H499" s="31"/>
      <c r="I499" s="4" t="str">
        <f t="shared" si="12"/>
        <v/>
      </c>
      <c r="J499" s="5" t="str">
        <f>IF(Tabela1[[#This Row],[Caixa]]="Receita","Recebido",IF(G499="","",IF(H499="","",IF(H499&gt;G499,"Pago atrasado",IF(H499&lt;=G499,"Pago","Aguardando")))))</f>
        <v/>
      </c>
    </row>
    <row r="500" spans="1:10" ht="21" customHeight="1" x14ac:dyDescent="0.2">
      <c r="A500" s="28"/>
      <c r="B500" s="29"/>
      <c r="C500" s="29"/>
      <c r="D500" s="48" t="str">
        <f>IFERROR(VLOOKUP(Tabela1[[#This Row],[Tag]],TAGS!$J$1:$K$9,2,0),"")</f>
        <v/>
      </c>
      <c r="E500" s="29"/>
      <c r="F500" s="30"/>
      <c r="G500" s="31"/>
      <c r="H500" s="31"/>
      <c r="I500" s="4" t="str">
        <f t="shared" si="12"/>
        <v/>
      </c>
      <c r="J500" s="5" t="str">
        <f>IF(Tabela1[[#This Row],[Caixa]]="Receita","Recebido",IF(G500="","",IF(H500="","",IF(H500&gt;G500,"Pago atrasado",IF(H500&lt;=G500,"Pago","Aguardando")))))</f>
        <v/>
      </c>
    </row>
    <row r="501" spans="1:10" ht="21" customHeight="1" x14ac:dyDescent="0.2">
      <c r="A501" s="28"/>
      <c r="B501" s="29"/>
      <c r="C501" s="29"/>
      <c r="D501" s="48" t="str">
        <f>IFERROR(VLOOKUP(Tabela1[[#This Row],[Tag]],TAGS!$J$1:$K$9,2,0),"")</f>
        <v/>
      </c>
      <c r="E501" s="29"/>
      <c r="F501" s="30"/>
      <c r="G501" s="31"/>
      <c r="H501" s="31"/>
      <c r="I501" s="4" t="str">
        <f t="shared" si="12"/>
        <v/>
      </c>
      <c r="J501" s="5" t="str">
        <f>IF(Tabela1[[#This Row],[Caixa]]="Receita","Recebido",IF(G501="","",IF(H501="","",IF(H501&gt;G501,"Pago atrasado",IF(H501&lt;=G501,"Pago","Aguardando")))))</f>
        <v/>
      </c>
    </row>
    <row r="502" spans="1:10" ht="21" customHeight="1" x14ac:dyDescent="0.2">
      <c r="A502" s="28"/>
      <c r="B502" s="29"/>
      <c r="C502" s="29"/>
      <c r="D502" s="48" t="str">
        <f>IFERROR(VLOOKUP(Tabela1[[#This Row],[Tag]],TAGS!$J$1:$K$9,2,0),"")</f>
        <v/>
      </c>
      <c r="E502" s="29"/>
      <c r="F502" s="30"/>
      <c r="G502" s="31"/>
      <c r="H502" s="31"/>
      <c r="I502" s="4" t="str">
        <f t="shared" si="12"/>
        <v/>
      </c>
      <c r="J502" s="5" t="str">
        <f>IF(Tabela1[[#This Row],[Caixa]]="Receita","Recebido",IF(G502="","",IF(H502="","",IF(H502&gt;G502,"Pago atrasado",IF(H502&lt;=G502,"Pago","Aguardando")))))</f>
        <v/>
      </c>
    </row>
    <row r="503" spans="1:10" ht="21" customHeight="1" x14ac:dyDescent="0.2">
      <c r="A503" s="28"/>
      <c r="B503" s="29"/>
      <c r="C503" s="29"/>
      <c r="D503" s="48" t="str">
        <f>IFERROR(VLOOKUP(Tabela1[[#This Row],[Tag]],TAGS!$J$1:$K$9,2,0),"")</f>
        <v/>
      </c>
      <c r="E503" s="29"/>
      <c r="F503" s="30"/>
      <c r="G503" s="31"/>
      <c r="H503" s="31"/>
      <c r="I503" s="4" t="str">
        <f t="shared" si="12"/>
        <v/>
      </c>
      <c r="J503" s="5" t="str">
        <f>IF(Tabela1[[#This Row],[Caixa]]="Receita","Recebido",IF(G503="","",IF(H503="","",IF(H503&gt;G503,"Pago atrasado",IF(H503&lt;=G503,"Pago","Aguardando")))))</f>
        <v/>
      </c>
    </row>
    <row r="504" spans="1:10" ht="21" customHeight="1" x14ac:dyDescent="0.2">
      <c r="A504" s="28"/>
      <c r="B504" s="29"/>
      <c r="C504" s="29"/>
      <c r="D504" s="48" t="str">
        <f>IFERROR(VLOOKUP(Tabela1[[#This Row],[Tag]],TAGS!$J$1:$K$9,2,0),"")</f>
        <v/>
      </c>
      <c r="E504" s="29"/>
      <c r="F504" s="30"/>
      <c r="G504" s="31"/>
      <c r="H504" s="31"/>
      <c r="I504" s="4" t="str">
        <f t="shared" si="12"/>
        <v/>
      </c>
      <c r="J504" s="5" t="str">
        <f>IF(Tabela1[[#This Row],[Caixa]]="Receita","Recebido",IF(G504="","",IF(H504="","",IF(H504&gt;G504,"Pago atrasado",IF(H504&lt;=G504,"Pago","Aguardando")))))</f>
        <v/>
      </c>
    </row>
    <row r="505" spans="1:10" ht="21" customHeight="1" x14ac:dyDescent="0.2">
      <c r="A505" s="28"/>
      <c r="B505" s="29"/>
      <c r="C505" s="29"/>
      <c r="D505" s="48" t="str">
        <f>IFERROR(VLOOKUP(Tabela1[[#This Row],[Tag]],TAGS!$J$1:$K$9,2,0),"")</f>
        <v/>
      </c>
      <c r="E505" s="29"/>
      <c r="F505" s="30"/>
      <c r="G505" s="31"/>
      <c r="H505" s="31"/>
      <c r="I505" s="4" t="str">
        <f t="shared" si="12"/>
        <v/>
      </c>
      <c r="J505" s="5" t="str">
        <f>IF(Tabela1[[#This Row],[Caixa]]="Receita","Recebido",IF(G505="","",IF(H505="","",IF(H505&gt;G505,"Pago atrasado",IF(H505&lt;=G505,"Pago","Aguardando")))))</f>
        <v/>
      </c>
    </row>
    <row r="506" spans="1:10" ht="21" customHeight="1" x14ac:dyDescent="0.2">
      <c r="A506" s="28"/>
      <c r="B506" s="29"/>
      <c r="C506" s="29"/>
      <c r="D506" s="48" t="str">
        <f>IFERROR(VLOOKUP(Tabela1[[#This Row],[Tag]],TAGS!$J$1:$K$9,2,0),"")</f>
        <v/>
      </c>
      <c r="E506" s="29"/>
      <c r="F506" s="30"/>
      <c r="G506" s="31"/>
      <c r="H506" s="31"/>
      <c r="I506" s="4" t="str">
        <f t="shared" si="12"/>
        <v/>
      </c>
      <c r="J506" s="5" t="str">
        <f>IF(Tabela1[[#This Row],[Caixa]]="Receita","Recebido",IF(G506="","",IF(H506="","",IF(H506&gt;G506,"Pago atrasado",IF(H506&lt;=G506,"Pago","Aguardando")))))</f>
        <v/>
      </c>
    </row>
    <row r="507" spans="1:10" ht="21" customHeight="1" x14ac:dyDescent="0.2">
      <c r="A507" s="28"/>
      <c r="B507" s="29"/>
      <c r="C507" s="29"/>
      <c r="D507" s="48" t="str">
        <f>IFERROR(VLOOKUP(Tabela1[[#This Row],[Tag]],TAGS!$J$1:$K$9,2,0),"")</f>
        <v/>
      </c>
      <c r="E507" s="29"/>
      <c r="F507" s="30"/>
      <c r="G507" s="31"/>
      <c r="H507" s="31"/>
      <c r="I507" s="4" t="str">
        <f t="shared" si="12"/>
        <v/>
      </c>
      <c r="J507" s="5" t="str">
        <f>IF(Tabela1[[#This Row],[Caixa]]="Receita","Recebido",IF(G507="","",IF(H507="","",IF(H507&gt;G507,"Pago atrasado",IF(H507&lt;=G507,"Pago","Aguardando")))))</f>
        <v/>
      </c>
    </row>
    <row r="508" spans="1:10" ht="21" customHeight="1" x14ac:dyDescent="0.2">
      <c r="A508" s="28"/>
      <c r="B508" s="29"/>
      <c r="C508" s="29"/>
      <c r="D508" s="48" t="str">
        <f>IFERROR(VLOOKUP(Tabela1[[#This Row],[Tag]],TAGS!$J$1:$K$9,2,0),"")</f>
        <v/>
      </c>
      <c r="E508" s="29"/>
      <c r="F508" s="30"/>
      <c r="G508" s="31"/>
      <c r="H508" s="31"/>
      <c r="I508" s="4" t="str">
        <f t="shared" si="12"/>
        <v/>
      </c>
      <c r="J508" s="5" t="str">
        <f>IF(Tabela1[[#This Row],[Caixa]]="Receita","Recebido",IF(G508="","",IF(H508="","",IF(H508&gt;G508,"Pago atrasado",IF(H508&lt;=G508,"Pago","Aguardando")))))</f>
        <v/>
      </c>
    </row>
    <row r="509" spans="1:10" ht="21" customHeight="1" x14ac:dyDescent="0.2">
      <c r="A509" s="28"/>
      <c r="B509" s="29"/>
      <c r="C509" s="29"/>
      <c r="D509" s="48" t="str">
        <f>IFERROR(VLOOKUP(Tabela1[[#This Row],[Tag]],TAGS!$J$1:$K$9,2,0),"")</f>
        <v/>
      </c>
      <c r="E509" s="29"/>
      <c r="F509" s="30"/>
      <c r="G509" s="31"/>
      <c r="H509" s="31"/>
      <c r="I509" s="4" t="str">
        <f t="shared" si="12"/>
        <v/>
      </c>
      <c r="J509" s="5" t="str">
        <f>IF(Tabela1[[#This Row],[Caixa]]="Receita","Recebido",IF(G509="","",IF(H509="","",IF(H509&gt;G509,"Pago atrasado",IF(H509&lt;=G509,"Pago","Aguardando")))))</f>
        <v/>
      </c>
    </row>
    <row r="510" spans="1:10" ht="21" customHeight="1" x14ac:dyDescent="0.2">
      <c r="A510" s="28"/>
      <c r="B510" s="29"/>
      <c r="C510" s="29"/>
      <c r="D510" s="48" t="str">
        <f>IFERROR(VLOOKUP(Tabela1[[#This Row],[Tag]],TAGS!$J$1:$K$9,2,0),"")</f>
        <v/>
      </c>
      <c r="E510" s="29"/>
      <c r="F510" s="30"/>
      <c r="G510" s="31"/>
      <c r="H510" s="31"/>
      <c r="I510" s="4" t="str">
        <f t="shared" si="12"/>
        <v/>
      </c>
      <c r="J510" s="5" t="str">
        <f>IF(Tabela1[[#This Row],[Caixa]]="Receita","Recebido",IF(G510="","",IF(H510="","",IF(H510&gt;G510,"Pago atrasado",IF(H510&lt;=G510,"Pago","Aguardando")))))</f>
        <v/>
      </c>
    </row>
    <row r="511" spans="1:10" ht="21" customHeight="1" x14ac:dyDescent="0.2">
      <c r="A511" s="28"/>
      <c r="B511" s="29"/>
      <c r="C511" s="29"/>
      <c r="D511" s="48" t="str">
        <f>IFERROR(VLOOKUP(Tabela1[[#This Row],[Tag]],TAGS!$J$1:$K$9,2,0),"")</f>
        <v/>
      </c>
      <c r="E511" s="29"/>
      <c r="F511" s="30"/>
      <c r="G511" s="31"/>
      <c r="H511" s="31"/>
      <c r="I511" s="4" t="str">
        <f t="shared" si="12"/>
        <v/>
      </c>
      <c r="J511" s="5" t="str">
        <f>IF(Tabela1[[#This Row],[Caixa]]="Receita","Recebido",IF(G511="","",IF(H511="","",IF(H511&gt;G511,"Pago atrasado",IF(H511&lt;=G511,"Pago","Aguardando")))))</f>
        <v/>
      </c>
    </row>
    <row r="512" spans="1:10" ht="21" customHeight="1" x14ac:dyDescent="0.2">
      <c r="A512" s="28"/>
      <c r="B512" s="29"/>
      <c r="C512" s="29"/>
      <c r="D512" s="48" t="str">
        <f>IFERROR(VLOOKUP(Tabela1[[#This Row],[Tag]],TAGS!$J$1:$K$9,2,0),"")</f>
        <v/>
      </c>
      <c r="E512" s="29"/>
      <c r="F512" s="30"/>
      <c r="G512" s="31"/>
      <c r="H512" s="31"/>
      <c r="I512" s="4" t="str">
        <f t="shared" si="12"/>
        <v/>
      </c>
      <c r="J512" s="5" t="str">
        <f>IF(Tabela1[[#This Row],[Caixa]]="Receita","Recebido",IF(G512="","",IF(H512="","",IF(H512&gt;G512,"Pago atrasado",IF(H512&lt;=G512,"Pago","Aguardando")))))</f>
        <v/>
      </c>
    </row>
    <row r="513" spans="1:10" ht="21" customHeight="1" x14ac:dyDescent="0.2">
      <c r="A513" s="28"/>
      <c r="B513" s="29"/>
      <c r="C513" s="29"/>
      <c r="D513" s="48" t="str">
        <f>IFERROR(VLOOKUP(Tabela1[[#This Row],[Tag]],TAGS!$J$1:$K$9,2,0),"")</f>
        <v/>
      </c>
      <c r="E513" s="29"/>
      <c r="F513" s="30"/>
      <c r="G513" s="31"/>
      <c r="H513" s="31"/>
      <c r="I513" s="4" t="str">
        <f t="shared" si="12"/>
        <v/>
      </c>
      <c r="J513" s="5" t="str">
        <f>IF(Tabela1[[#This Row],[Caixa]]="Receita","Recebido",IF(G513="","",IF(H513="","",IF(H513&gt;G513,"Pago atrasado",IF(H513&lt;=G513,"Pago","Aguardando")))))</f>
        <v/>
      </c>
    </row>
    <row r="514" spans="1:10" ht="21" customHeight="1" x14ac:dyDescent="0.2">
      <c r="A514" s="28"/>
      <c r="B514" s="29"/>
      <c r="C514" s="29"/>
      <c r="D514" s="48" t="str">
        <f>IFERROR(VLOOKUP(Tabela1[[#This Row],[Tag]],TAGS!$J$1:$K$9,2,0),"")</f>
        <v/>
      </c>
      <c r="E514" s="29"/>
      <c r="F514" s="30"/>
      <c r="G514" s="31"/>
      <c r="H514" s="31"/>
      <c r="I514" s="4" t="str">
        <f t="shared" si="12"/>
        <v/>
      </c>
      <c r="J514" s="5" t="str">
        <f>IF(Tabela1[[#This Row],[Caixa]]="Receita","Recebido",IF(G514="","",IF(H514="","",IF(H514&gt;G514,"Pago atrasado",IF(H514&lt;=G514,"Pago","Aguardando")))))</f>
        <v/>
      </c>
    </row>
    <row r="515" spans="1:10" ht="21" customHeight="1" x14ac:dyDescent="0.2">
      <c r="A515" s="28"/>
      <c r="B515" s="29"/>
      <c r="C515" s="29"/>
      <c r="D515" s="48" t="str">
        <f>IFERROR(VLOOKUP(Tabela1[[#This Row],[Tag]],TAGS!$J$1:$K$9,2,0),"")</f>
        <v/>
      </c>
      <c r="E515" s="29"/>
      <c r="F515" s="30"/>
      <c r="G515" s="31"/>
      <c r="H515" s="31"/>
      <c r="I515" s="4" t="str">
        <f t="shared" si="12"/>
        <v/>
      </c>
      <c r="J515" s="5" t="str">
        <f>IF(Tabela1[[#This Row],[Caixa]]="Receita","Recebido",IF(G515="","",IF(H515="","",IF(H515&gt;G515,"Pago atrasado",IF(H515&lt;=G515,"Pago","Aguardando")))))</f>
        <v/>
      </c>
    </row>
    <row r="516" spans="1:10" ht="21" customHeight="1" x14ac:dyDescent="0.2">
      <c r="A516" s="28"/>
      <c r="B516" s="29"/>
      <c r="C516" s="29"/>
      <c r="D516" s="48" t="str">
        <f>IFERROR(VLOOKUP(Tabela1[[#This Row],[Tag]],TAGS!$J$1:$K$9,2,0),"")</f>
        <v/>
      </c>
      <c r="E516" s="29"/>
      <c r="F516" s="30"/>
      <c r="G516" s="31"/>
      <c r="H516" s="31"/>
      <c r="I516" s="4" t="str">
        <f t="shared" si="12"/>
        <v/>
      </c>
      <c r="J516" s="5" t="str">
        <f>IF(Tabela1[[#This Row],[Caixa]]="Receita","Recebido",IF(G516="","",IF(H516="","",IF(H516&gt;G516,"Pago atrasado",IF(H516&lt;=G516,"Pago","Aguardando")))))</f>
        <v/>
      </c>
    </row>
    <row r="517" spans="1:10" ht="21" customHeight="1" x14ac:dyDescent="0.2">
      <c r="A517" s="28"/>
      <c r="B517" s="29"/>
      <c r="C517" s="29"/>
      <c r="D517" s="48" t="str">
        <f>IFERROR(VLOOKUP(Tabela1[[#This Row],[Tag]],TAGS!$J$1:$K$9,2,0),"")</f>
        <v/>
      </c>
      <c r="E517" s="29"/>
      <c r="F517" s="30"/>
      <c r="G517" s="31"/>
      <c r="H517" s="31"/>
      <c r="I517" s="4" t="str">
        <f t="shared" si="12"/>
        <v/>
      </c>
      <c r="J517" s="5" t="str">
        <f>IF(Tabela1[[#This Row],[Caixa]]="Receita","Recebido",IF(G517="","",IF(H517="","",IF(H517&gt;G517,"Pago atrasado",IF(H517&lt;=G517,"Pago","Aguardando")))))</f>
        <v/>
      </c>
    </row>
    <row r="518" spans="1:10" ht="21" customHeight="1" x14ac:dyDescent="0.2">
      <c r="A518" s="28"/>
      <c r="B518" s="29"/>
      <c r="C518" s="29"/>
      <c r="D518" s="48" t="str">
        <f>IFERROR(VLOOKUP(Tabela1[[#This Row],[Tag]],TAGS!$J$1:$K$9,2,0),"")</f>
        <v/>
      </c>
      <c r="E518" s="29"/>
      <c r="F518" s="30"/>
      <c r="G518" s="31"/>
      <c r="H518" s="31"/>
      <c r="I518" s="4" t="str">
        <f t="shared" si="12"/>
        <v/>
      </c>
      <c r="J518" s="5" t="str">
        <f>IF(Tabela1[[#This Row],[Caixa]]="Receita","Recebido",IF(G518="","",IF(H518="","",IF(H518&gt;G518,"Pago atrasado",IF(H518&lt;=G518,"Pago","Aguardando")))))</f>
        <v/>
      </c>
    </row>
    <row r="519" spans="1:10" ht="21" customHeight="1" x14ac:dyDescent="0.2">
      <c r="A519" s="28"/>
      <c r="B519" s="29"/>
      <c r="C519" s="29"/>
      <c r="D519" s="48" t="str">
        <f>IFERROR(VLOOKUP(Tabela1[[#This Row],[Tag]],TAGS!$J$1:$K$9,2,0),"")</f>
        <v/>
      </c>
      <c r="E519" s="29"/>
      <c r="F519" s="30"/>
      <c r="G519" s="31"/>
      <c r="H519" s="31"/>
      <c r="I519" s="4" t="str">
        <f t="shared" si="12"/>
        <v/>
      </c>
      <c r="J519" s="5" t="str">
        <f>IF(Tabela1[[#This Row],[Caixa]]="Receita","Recebido",IF(G519="","",IF(H519="","",IF(H519&gt;G519,"Pago atrasado",IF(H519&lt;=G519,"Pago","Aguardando")))))</f>
        <v/>
      </c>
    </row>
    <row r="520" spans="1:10" ht="21" customHeight="1" x14ac:dyDescent="0.2">
      <c r="A520" s="28"/>
      <c r="B520" s="29"/>
      <c r="C520" s="29"/>
      <c r="D520" s="48" t="str">
        <f>IFERROR(VLOOKUP(Tabela1[[#This Row],[Tag]],TAGS!$J$1:$K$9,2,0),"")</f>
        <v/>
      </c>
      <c r="E520" s="29"/>
      <c r="F520" s="30"/>
      <c r="G520" s="31"/>
      <c r="H520" s="31"/>
      <c r="I520" s="4" t="str">
        <f t="shared" si="12"/>
        <v/>
      </c>
      <c r="J520" s="5" t="str">
        <f>IF(Tabela1[[#This Row],[Caixa]]="Receita","Recebido",IF(G520="","",IF(H520="","",IF(H520&gt;G520,"Pago atrasado",IF(H520&lt;=G520,"Pago","Aguardando")))))</f>
        <v/>
      </c>
    </row>
    <row r="521" spans="1:10" ht="21" customHeight="1" x14ac:dyDescent="0.2">
      <c r="A521" s="28"/>
      <c r="B521" s="29"/>
      <c r="C521" s="29"/>
      <c r="D521" s="48" t="str">
        <f>IFERROR(VLOOKUP(Tabela1[[#This Row],[Tag]],TAGS!$J$1:$K$9,2,0),"")</f>
        <v/>
      </c>
      <c r="E521" s="29"/>
      <c r="F521" s="30"/>
      <c r="G521" s="31"/>
      <c r="H521" s="31"/>
      <c r="I521" s="4" t="str">
        <f t="shared" si="12"/>
        <v/>
      </c>
      <c r="J521" s="5" t="str">
        <f>IF(Tabela1[[#This Row],[Caixa]]="Receita","Recebido",IF(G521="","",IF(H521="","",IF(H521&gt;G521,"Pago atrasado",IF(H521&lt;=G521,"Pago","Aguardando")))))</f>
        <v/>
      </c>
    </row>
    <row r="522" spans="1:10" ht="21" customHeight="1" x14ac:dyDescent="0.2">
      <c r="A522" s="28"/>
      <c r="B522" s="29"/>
      <c r="C522" s="29"/>
      <c r="D522" s="48" t="str">
        <f>IFERROR(VLOOKUP(Tabela1[[#This Row],[Tag]],TAGS!$J$1:$K$9,2,0),"")</f>
        <v/>
      </c>
      <c r="E522" s="29"/>
      <c r="F522" s="30"/>
      <c r="G522" s="31"/>
      <c r="H522" s="31"/>
      <c r="I522" s="4" t="str">
        <f t="shared" si="12"/>
        <v/>
      </c>
      <c r="J522" s="5" t="str">
        <f>IF(Tabela1[[#This Row],[Caixa]]="Receita","Recebido",IF(G522="","",IF(H522="","",IF(H522&gt;G522,"Pago atrasado",IF(H522&lt;=G522,"Pago","Aguardando")))))</f>
        <v/>
      </c>
    </row>
    <row r="523" spans="1:10" ht="21" customHeight="1" x14ac:dyDescent="0.2">
      <c r="A523" s="28"/>
      <c r="B523" s="29"/>
      <c r="C523" s="29"/>
      <c r="D523" s="48" t="str">
        <f>IFERROR(VLOOKUP(Tabela1[[#This Row],[Tag]],TAGS!$J$1:$K$9,2,0),"")</f>
        <v/>
      </c>
      <c r="E523" s="29"/>
      <c r="F523" s="30"/>
      <c r="G523" s="31"/>
      <c r="H523" s="31"/>
      <c r="I523" s="4" t="str">
        <f t="shared" si="12"/>
        <v/>
      </c>
      <c r="J523" s="5" t="str">
        <f>IF(Tabela1[[#This Row],[Caixa]]="Receita","Recebido",IF(G523="","",IF(H523="","",IF(H523&gt;G523,"Pago atrasado",IF(H523&lt;=G523,"Pago","Aguardando")))))</f>
        <v/>
      </c>
    </row>
    <row r="524" spans="1:10" ht="21" customHeight="1" x14ac:dyDescent="0.2">
      <c r="A524" s="28"/>
      <c r="B524" s="29"/>
      <c r="C524" s="29"/>
      <c r="D524" s="48" t="str">
        <f>IFERROR(VLOOKUP(Tabela1[[#This Row],[Tag]],TAGS!$J$1:$K$9,2,0),"")</f>
        <v/>
      </c>
      <c r="E524" s="29"/>
      <c r="F524" s="30"/>
      <c r="G524" s="31"/>
      <c r="H524" s="31"/>
      <c r="I524" s="4" t="str">
        <f t="shared" si="12"/>
        <v/>
      </c>
      <c r="J524" s="5" t="str">
        <f>IF(Tabela1[[#This Row],[Caixa]]="Receita","Recebido",IF(G524="","",IF(H524="","",IF(H524&gt;G524,"Pago atrasado",IF(H524&lt;=G524,"Pago","Aguardando")))))</f>
        <v/>
      </c>
    </row>
    <row r="525" spans="1:10" ht="21" customHeight="1" x14ac:dyDescent="0.2">
      <c r="A525" s="28"/>
      <c r="B525" s="29"/>
      <c r="C525" s="29"/>
      <c r="D525" s="48" t="str">
        <f>IFERROR(VLOOKUP(Tabela1[[#This Row],[Tag]],TAGS!$J$1:$K$9,2,0),"")</f>
        <v/>
      </c>
      <c r="E525" s="29"/>
      <c r="F525" s="30"/>
      <c r="G525" s="31"/>
      <c r="H525" s="31"/>
      <c r="I525" s="4" t="str">
        <f t="shared" si="12"/>
        <v/>
      </c>
      <c r="J525" s="5" t="str">
        <f>IF(Tabela1[[#This Row],[Caixa]]="Receita","Recebido",IF(G525="","",IF(H525="","",IF(H525&gt;G525,"Pago atrasado",IF(H525&lt;=G525,"Pago","Aguardando")))))</f>
        <v/>
      </c>
    </row>
    <row r="526" spans="1:10" ht="21" customHeight="1" x14ac:dyDescent="0.2">
      <c r="A526" s="28"/>
      <c r="B526" s="29"/>
      <c r="C526" s="29"/>
      <c r="D526" s="48" t="str">
        <f>IFERROR(VLOOKUP(Tabela1[[#This Row],[Tag]],TAGS!$J$1:$K$9,2,0),"")</f>
        <v/>
      </c>
      <c r="E526" s="29"/>
      <c r="F526" s="30"/>
      <c r="G526" s="31"/>
      <c r="H526" s="31"/>
      <c r="I526" s="4" t="str">
        <f t="shared" si="12"/>
        <v/>
      </c>
      <c r="J526" s="5" t="str">
        <f>IF(Tabela1[[#This Row],[Caixa]]="Receita","Recebido",IF(G526="","",IF(H526="","",IF(H526&gt;G526,"Pago atrasado",IF(H526&lt;=G526,"Pago","Aguardando")))))</f>
        <v/>
      </c>
    </row>
    <row r="527" spans="1:10" ht="21" customHeight="1" x14ac:dyDescent="0.2">
      <c r="A527" s="28"/>
      <c r="B527" s="29"/>
      <c r="C527" s="29"/>
      <c r="D527" s="48" t="str">
        <f>IFERROR(VLOOKUP(Tabela1[[#This Row],[Tag]],TAGS!$J$1:$K$9,2,0),"")</f>
        <v/>
      </c>
      <c r="E527" s="29"/>
      <c r="F527" s="30"/>
      <c r="G527" s="31"/>
      <c r="H527" s="31"/>
      <c r="I527" s="4" t="str">
        <f t="shared" si="12"/>
        <v/>
      </c>
      <c r="J527" s="5" t="str">
        <f>IF(Tabela1[[#This Row],[Caixa]]="Receita","Recebido",IF(G527="","",IF(H527="","",IF(H527&gt;G527,"Pago atrasado",IF(H527&lt;=G527,"Pago","Aguardando")))))</f>
        <v/>
      </c>
    </row>
    <row r="528" spans="1:10" ht="21" customHeight="1" x14ac:dyDescent="0.2">
      <c r="A528" s="28"/>
      <c r="B528" s="29"/>
      <c r="C528" s="29"/>
      <c r="D528" s="48" t="str">
        <f>IFERROR(VLOOKUP(Tabela1[[#This Row],[Tag]],TAGS!$J$1:$K$9,2,0),"")</f>
        <v/>
      </c>
      <c r="E528" s="29"/>
      <c r="F528" s="30"/>
      <c r="G528" s="31"/>
      <c r="H528" s="31"/>
      <c r="I528" s="4" t="str">
        <f t="shared" si="12"/>
        <v/>
      </c>
      <c r="J528" s="5" t="str">
        <f>IF(Tabela1[[#This Row],[Caixa]]="Receita","Recebido",IF(G528="","",IF(H528="","",IF(H528&gt;G528,"Pago atrasado",IF(H528&lt;=G528,"Pago","Aguardando")))))</f>
        <v/>
      </c>
    </row>
    <row r="529" spans="1:10" ht="21" customHeight="1" x14ac:dyDescent="0.2">
      <c r="A529" s="28"/>
      <c r="B529" s="29"/>
      <c r="C529" s="29"/>
      <c r="D529" s="48" t="str">
        <f>IFERROR(VLOOKUP(Tabela1[[#This Row],[Tag]],TAGS!$J$1:$K$9,2,0),"")</f>
        <v/>
      </c>
      <c r="E529" s="29"/>
      <c r="F529" s="30"/>
      <c r="G529" s="31"/>
      <c r="H529" s="31"/>
      <c r="I529" s="4" t="str">
        <f t="shared" si="12"/>
        <v/>
      </c>
      <c r="J529" s="5" t="str">
        <f>IF(Tabela1[[#This Row],[Caixa]]="Receita","Recebido",IF(G529="","",IF(H529="","",IF(H529&gt;G529,"Pago atrasado",IF(H529&lt;=G529,"Pago","Aguardando")))))</f>
        <v/>
      </c>
    </row>
    <row r="530" spans="1:10" ht="21" customHeight="1" x14ac:dyDescent="0.2">
      <c r="A530" s="28"/>
      <c r="B530" s="29"/>
      <c r="C530" s="29"/>
      <c r="D530" s="48" t="str">
        <f>IFERROR(VLOOKUP(Tabela1[[#This Row],[Tag]],TAGS!$J$1:$K$9,2,0),"")</f>
        <v/>
      </c>
      <c r="E530" s="29"/>
      <c r="F530" s="30"/>
      <c r="G530" s="31"/>
      <c r="H530" s="31"/>
      <c r="I530" s="4" t="str">
        <f t="shared" si="12"/>
        <v/>
      </c>
      <c r="J530" s="5" t="str">
        <f>IF(Tabela1[[#This Row],[Caixa]]="Receita","Recebido",IF(G530="","",IF(H530="","",IF(H530&gt;G530,"Pago atrasado",IF(H530&lt;=G530,"Pago","Aguardando")))))</f>
        <v/>
      </c>
    </row>
    <row r="531" spans="1:10" ht="21" customHeight="1" x14ac:dyDescent="0.2">
      <c r="A531" s="28"/>
      <c r="B531" s="29"/>
      <c r="C531" s="29"/>
      <c r="D531" s="48" t="str">
        <f>IFERROR(VLOOKUP(Tabela1[[#This Row],[Tag]],TAGS!$J$1:$K$9,2,0),"")</f>
        <v/>
      </c>
      <c r="E531" s="29"/>
      <c r="F531" s="30"/>
      <c r="G531" s="31"/>
      <c r="H531" s="31"/>
      <c r="I531" s="4" t="str">
        <f t="shared" si="12"/>
        <v/>
      </c>
      <c r="J531" s="5" t="str">
        <f>IF(Tabela1[[#This Row],[Caixa]]="Receita","Recebido",IF(G531="","",IF(H531="","",IF(H531&gt;G531,"Pago atrasado",IF(H531&lt;=G531,"Pago","Aguardando")))))</f>
        <v/>
      </c>
    </row>
  </sheetData>
  <conditionalFormatting sqref="J4:J531">
    <cfRule type="cellIs" dxfId="12" priority="1" operator="equal">
      <formula>"Recebido"</formula>
    </cfRule>
    <cfRule type="cellIs" dxfId="11" priority="3" operator="equal">
      <formula>"Pago atrasado"</formula>
    </cfRule>
    <cfRule type="cellIs" dxfId="10" priority="4" operator="equal">
      <formula>"pago"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CC8BA8-9035-4797-A768-12C8D6B60B87}">
          <x14:formula1>
            <xm:f>TAGS!$A$2:$A$10</xm:f>
          </x14:formula1>
          <xm:sqref>C4:C531</xm:sqref>
        </x14:dataValidation>
        <x14:dataValidation type="list" allowBlank="1" showInputMessage="1" showErrorMessage="1" xr:uid="{F8528406-320F-4B79-8107-1745D47B5C0E}">
          <x14:formula1>
            <xm:f>TAGS!$C$2:$C$3</xm:f>
          </x14:formula1>
          <xm:sqref>B4:B531</xm:sqref>
        </x14:dataValidation>
        <x14:dataValidation type="list" allowBlank="1" showInputMessage="1" showErrorMessage="1" xr:uid="{3AA2EFEE-537C-41B4-8EB7-D5162D59BDF3}">
          <x14:formula1>
            <xm:f>TAGS!$E$2:$E$10</xm:f>
          </x14:formula1>
          <xm:sqref>E4:E531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15B-51D3-4697-BE5D-D5695BD14468}">
  <dimension ref="A1:K9"/>
  <sheetViews>
    <sheetView workbookViewId="0">
      <selection activeCell="K9" sqref="K9"/>
    </sheetView>
  </sheetViews>
  <sheetFormatPr defaultRowHeight="15" x14ac:dyDescent="0.25"/>
  <cols>
    <col min="1" max="1" width="15.5703125" bestFit="1" customWidth="1"/>
    <col min="10" max="10" width="20.28515625" bestFit="1" customWidth="1"/>
    <col min="11" max="11" width="13.28515625" bestFit="1" customWidth="1"/>
  </cols>
  <sheetData>
    <row r="1" spans="1:11" x14ac:dyDescent="0.25">
      <c r="A1" t="s">
        <v>12</v>
      </c>
      <c r="C1" t="s">
        <v>53</v>
      </c>
      <c r="E1" t="s">
        <v>60</v>
      </c>
      <c r="J1" t="s">
        <v>76</v>
      </c>
      <c r="K1" t="s">
        <v>78</v>
      </c>
    </row>
    <row r="2" spans="1:11" x14ac:dyDescent="0.25">
      <c r="A2" t="s">
        <v>11</v>
      </c>
      <c r="C2" t="s">
        <v>54</v>
      </c>
      <c r="E2" t="s">
        <v>17</v>
      </c>
      <c r="J2" t="s">
        <v>11</v>
      </c>
      <c r="K2" t="s">
        <v>79</v>
      </c>
    </row>
    <row r="3" spans="1:11" x14ac:dyDescent="0.25">
      <c r="A3" t="s">
        <v>13</v>
      </c>
      <c r="C3" t="s">
        <v>55</v>
      </c>
      <c r="E3" t="s">
        <v>61</v>
      </c>
      <c r="J3" t="s">
        <v>13</v>
      </c>
      <c r="K3" t="s">
        <v>79</v>
      </c>
    </row>
    <row r="4" spans="1:11" x14ac:dyDescent="0.25">
      <c r="A4" t="s">
        <v>14</v>
      </c>
      <c r="E4" t="s">
        <v>5</v>
      </c>
      <c r="J4" t="s">
        <v>14</v>
      </c>
      <c r="K4" t="s">
        <v>79</v>
      </c>
    </row>
    <row r="5" spans="1:11" x14ac:dyDescent="0.25">
      <c r="A5" t="s">
        <v>15</v>
      </c>
      <c r="E5" t="s">
        <v>59</v>
      </c>
      <c r="J5" t="s">
        <v>15</v>
      </c>
      <c r="K5" t="s">
        <v>80</v>
      </c>
    </row>
    <row r="6" spans="1:11" x14ac:dyDescent="0.25">
      <c r="A6" t="s">
        <v>28</v>
      </c>
      <c r="E6" t="s">
        <v>3</v>
      </c>
      <c r="J6" t="s">
        <v>28</v>
      </c>
      <c r="K6" t="s">
        <v>80</v>
      </c>
    </row>
    <row r="7" spans="1:11" x14ac:dyDescent="0.25">
      <c r="A7" t="s">
        <v>32</v>
      </c>
      <c r="J7" t="s">
        <v>32</v>
      </c>
      <c r="K7" t="s">
        <v>77</v>
      </c>
    </row>
    <row r="8" spans="1:11" x14ac:dyDescent="0.25">
      <c r="A8" t="s">
        <v>35</v>
      </c>
      <c r="J8" t="s">
        <v>35</v>
      </c>
      <c r="K8" t="s">
        <v>80</v>
      </c>
    </row>
    <row r="9" spans="1:11" x14ac:dyDescent="0.25">
      <c r="A9" t="s">
        <v>57</v>
      </c>
      <c r="J9" t="s">
        <v>77</v>
      </c>
      <c r="K9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PAINEL</vt:lpstr>
      <vt:lpstr>TABELAS</vt:lpstr>
      <vt:lpstr>TRANSAÇÕES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Wille</dc:creator>
  <cp:lastModifiedBy>Marcos Wille</cp:lastModifiedBy>
  <cp:lastPrinted>2023-12-22T14:56:01Z</cp:lastPrinted>
  <dcterms:created xsi:type="dcterms:W3CDTF">2015-06-05T18:19:34Z</dcterms:created>
  <dcterms:modified xsi:type="dcterms:W3CDTF">2024-01-24T22:02:40Z</dcterms:modified>
</cp:coreProperties>
</file>