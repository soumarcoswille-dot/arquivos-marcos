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slicerCaches/slicerCache4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slicers/slicer1.xml" ContentType="application/vnd.ms-excel.slicer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theme/themeOverride1.xml" ContentType="application/vnd.openxmlformats-officedocument.themeOverrid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hidePivotFieldList="1"/>
  <mc:AlternateContent xmlns:mc="http://schemas.openxmlformats.org/markup-compatibility/2006">
    <mc:Choice Requires="x15">
      <x15ac:absPath xmlns:x15ac="http://schemas.microsoft.com/office/spreadsheetml/2010/11/ac" url="C:\Users\lenovo\Documents\1. MARCOS\Finanças\Em Uso\"/>
    </mc:Choice>
  </mc:AlternateContent>
  <xr:revisionPtr revIDLastSave="0" documentId="13_ncr:1_{BE756E9E-6EFB-4385-9B5C-965F7E02AB68}" xr6:coauthVersionLast="47" xr6:coauthVersionMax="47" xr10:uidLastSave="{00000000-0000-0000-0000-000000000000}"/>
  <bookViews>
    <workbookView xWindow="-28920" yWindow="-120" windowWidth="29040" windowHeight="15990" tabRatio="777" activeTab="3" xr2:uid="{00000000-000D-0000-FFFF-FFFF00000000}"/>
  </bookViews>
  <sheets>
    <sheet name="TRANSAÇÕES" sheetId="1" r:id="rId1"/>
    <sheet name="PAINEL" sheetId="8" r:id="rId2"/>
    <sheet name="PLANO DE AÇÃO" sheetId="9" r:id="rId3"/>
    <sheet name="TABELAS" sheetId="7" r:id="rId4"/>
    <sheet name="Planilha1" sheetId="10" r:id="rId5"/>
    <sheet name="TAGS" sheetId="5" state="hidden" r:id="rId6"/>
  </sheets>
  <definedNames>
    <definedName name="_xlnm._FilterDatabase" localSheetId="0" hidden="1">TRANSAÇÕES!$A$3:$J$86</definedName>
    <definedName name="SegmentaçãodeDados_Categoria_de_despesa">#N/A</definedName>
    <definedName name="SegmentaçãodeDados_Data_do_Pagamento___Compra">#N/A</definedName>
    <definedName name="SegmentaçãodeDados_Mês">#N/A</definedName>
    <definedName name="SegmentaçãodeDados_Tag">#N/A</definedName>
  </definedNames>
  <calcPr calcId="191029" iterate="1" iterateCount="1" calcOnSave="0"/>
  <pivotCaches>
    <pivotCache cacheId="0" r:id="rId7"/>
  </pivotCaches>
  <extLst>
    <ext xmlns:x14="http://schemas.microsoft.com/office/spreadsheetml/2009/9/main" uri="{BBE1A952-AA13-448e-AADC-164F8A28A991}">
      <x14:slicerCaches>
        <x14:slicerCache r:id="rId8"/>
        <x14:slicerCache r:id="rId9"/>
        <x14:slicerCache r:id="rId10"/>
        <x14:slicerCache r:id="rId11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1" i="10" l="1"/>
  <c r="C10" i="10"/>
  <c r="C9" i="10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2" i="1"/>
  <c r="I503" i="1"/>
  <c r="I504" i="1"/>
  <c r="I505" i="1"/>
  <c r="I506" i="1"/>
  <c r="I507" i="1"/>
  <c r="I508" i="1"/>
  <c r="I509" i="1"/>
  <c r="I510" i="1"/>
  <c r="I511" i="1"/>
  <c r="I512" i="1"/>
  <c r="I513" i="1"/>
  <c r="I514" i="1"/>
  <c r="I515" i="1"/>
  <c r="I516" i="1"/>
  <c r="I517" i="1"/>
  <c r="I518" i="1"/>
  <c r="I519" i="1"/>
  <c r="I520" i="1"/>
  <c r="J260" i="1"/>
  <c r="J4" i="1"/>
  <c r="J277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E521" i="1"/>
  <c r="H4" i="1"/>
  <c r="H23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M2" i="7"/>
  <c r="P6" i="7"/>
  <c r="AE1" i="7"/>
  <c r="AB1" i="7"/>
  <c r="U4" i="7"/>
  <c r="P5" i="7"/>
  <c r="P7" i="7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Marcos Wille</author>
  </authors>
  <commentList>
    <comment ref="A15" authorId="0" shapeId="0" xr:uid="{9F2BACDB-D8F9-49E7-8B52-9E2DECE9ED90}">
      <text>
        <r>
          <rPr>
            <b/>
            <sz val="9"/>
            <color indexed="81"/>
            <rFont val="Segoe UI"/>
            <family val="2"/>
          </rPr>
          <t>Marcos Wille:</t>
        </r>
        <r>
          <rPr>
            <sz val="9"/>
            <color indexed="81"/>
            <rFont val="Segoe UI"/>
            <family val="2"/>
          </rPr>
          <t xml:space="preserve">
CAIXA ATUAL: Refere-se ao total de receita menos o total de despesas (Ele engloba todos os meses já cadastrados)</t>
        </r>
      </text>
    </comment>
  </commentList>
</comments>
</file>

<file path=xl/sharedStrings.xml><?xml version="1.0" encoding="utf-8"?>
<sst xmlns="http://schemas.openxmlformats.org/spreadsheetml/2006/main" count="1519" uniqueCount="193">
  <si>
    <t>Descrição</t>
  </si>
  <si>
    <t>Forma de Pagamento</t>
  </si>
  <si>
    <t>Aluguel</t>
  </si>
  <si>
    <t>Boleto</t>
  </si>
  <si>
    <t>Condomínio</t>
  </si>
  <si>
    <t>Pix</t>
  </si>
  <si>
    <t>Status</t>
  </si>
  <si>
    <t>Luz</t>
  </si>
  <si>
    <t>Internet</t>
  </si>
  <si>
    <t>Rótulos de Linha</t>
  </si>
  <si>
    <t>Total Geral</t>
  </si>
  <si>
    <t>Moradia</t>
  </si>
  <si>
    <t>Mercado</t>
  </si>
  <si>
    <t>Transporte</t>
  </si>
  <si>
    <t>Lazer</t>
  </si>
  <si>
    <t>Débito</t>
  </si>
  <si>
    <t>Data do Pagamento / Compra</t>
  </si>
  <si>
    <t>Cabelo</t>
  </si>
  <si>
    <t>Beleza</t>
  </si>
  <si>
    <t>Cooper</t>
  </si>
  <si>
    <t>Educação</t>
  </si>
  <si>
    <t>Outros</t>
  </si>
  <si>
    <t>Faculdade</t>
  </si>
  <si>
    <t>Tim</t>
  </si>
  <si>
    <t>Havan</t>
  </si>
  <si>
    <t>Doação</t>
  </si>
  <si>
    <t>Mês</t>
  </si>
  <si>
    <t>Caixa</t>
  </si>
  <si>
    <t>Receita</t>
  </si>
  <si>
    <t>Despesa</t>
  </si>
  <si>
    <t>Tag</t>
  </si>
  <si>
    <t>Salário</t>
  </si>
  <si>
    <t>Valor</t>
  </si>
  <si>
    <t>Next</t>
  </si>
  <si>
    <t>Formas de pagamento</t>
  </si>
  <si>
    <t>Crédito</t>
  </si>
  <si>
    <t>CAIXA</t>
  </si>
  <si>
    <t xml:space="preserve"> </t>
  </si>
  <si>
    <t>Soma de Valor</t>
  </si>
  <si>
    <t>Categoria de despesa</t>
  </si>
  <si>
    <t>Categoria de Despesa</t>
  </si>
  <si>
    <t>Investimento</t>
  </si>
  <si>
    <t>Desc</t>
  </si>
  <si>
    <t>Essencial</t>
  </si>
  <si>
    <t>Não essencial</t>
  </si>
  <si>
    <t xml:space="preserve">                                                                                Fluxo de caixa</t>
  </si>
  <si>
    <t>Farmácia</t>
  </si>
  <si>
    <t>Saúde</t>
  </si>
  <si>
    <t>Giassi</t>
  </si>
  <si>
    <t>Remédio Catarinense</t>
  </si>
  <si>
    <t>Vitorino</t>
  </si>
  <si>
    <t>Restaurante</t>
  </si>
  <si>
    <t xml:space="preserve">POP  </t>
  </si>
  <si>
    <t>Super Dog</t>
  </si>
  <si>
    <t>Celular iza</t>
  </si>
  <si>
    <t>Posto</t>
  </si>
  <si>
    <t>Slice pizza</t>
  </si>
  <si>
    <t>lover Pub</t>
  </si>
  <si>
    <t>Marka</t>
  </si>
  <si>
    <t>Rosa cruz</t>
  </si>
  <si>
    <t>Portal do Iguaçu</t>
  </si>
  <si>
    <t>Irmãos Madalosso</t>
  </si>
  <si>
    <t>Estacionamento</t>
  </si>
  <si>
    <t>Água</t>
  </si>
  <si>
    <t>Posto Veneza</t>
  </si>
  <si>
    <t>Capa Celular</t>
  </si>
  <si>
    <t>MP Salgados</t>
  </si>
  <si>
    <t>Opa</t>
  </si>
  <si>
    <t>Casa Raul</t>
  </si>
  <si>
    <t>Texas Bar</t>
  </si>
  <si>
    <t>CENTAURO</t>
  </si>
  <si>
    <t>STARBUCKS BRASIL</t>
  </si>
  <si>
    <t>PALMEIRAO</t>
  </si>
  <si>
    <t>MILIUM</t>
  </si>
  <si>
    <t>Casa China</t>
  </si>
  <si>
    <t>FARMACIA PRECO</t>
  </si>
  <si>
    <t>Posrto</t>
  </si>
  <si>
    <t>Bella Roma</t>
  </si>
  <si>
    <t>Tupy</t>
  </si>
  <si>
    <t>Padaria</t>
  </si>
  <si>
    <t>Total</t>
  </si>
  <si>
    <t>POP</t>
  </si>
  <si>
    <t>SALGADOSDAS NACOES</t>
  </si>
  <si>
    <t>VARIEDADES COMERCIO DE JOINVILLE</t>
  </si>
  <si>
    <t>Panificadora Pires</t>
  </si>
  <si>
    <t>Cerveja</t>
  </si>
  <si>
    <t>EDUARDO DAROSSI</t>
  </si>
  <si>
    <t>Ipone</t>
  </si>
  <si>
    <t>Hipercard Crédito</t>
  </si>
  <si>
    <t>C6 Crédito</t>
  </si>
  <si>
    <t>Movida</t>
  </si>
  <si>
    <t>Academia</t>
  </si>
  <si>
    <t>Finclas</t>
  </si>
  <si>
    <t>Manual saúde</t>
  </si>
  <si>
    <t>Canva</t>
  </si>
  <si>
    <t>HOSTINGER.COM.BR</t>
  </si>
  <si>
    <t>Ajuste de saldo (C6)</t>
  </si>
  <si>
    <t>Meta de gastos</t>
  </si>
  <si>
    <t>Trufa</t>
  </si>
  <si>
    <t>Baratinha</t>
  </si>
  <si>
    <t>Andréia</t>
  </si>
  <si>
    <t>Chip tim</t>
  </si>
  <si>
    <t>Chop</t>
  </si>
  <si>
    <t>Boné</t>
  </si>
  <si>
    <t>Kalzone</t>
  </si>
  <si>
    <t>Cuecas Amazon</t>
  </si>
  <si>
    <t>Rdrigo Finclas</t>
  </si>
  <si>
    <t>Pizza</t>
  </si>
  <si>
    <t>PRT</t>
  </si>
  <si>
    <t>Bar</t>
  </si>
  <si>
    <t>Cassol</t>
  </si>
  <si>
    <t>Uber</t>
  </si>
  <si>
    <t>Cartinha Pókemon</t>
  </si>
  <si>
    <t>Livro mãe</t>
  </si>
  <si>
    <t>Chip Pedro</t>
  </si>
  <si>
    <t>Toalhas Casa Sofia</t>
  </si>
  <si>
    <t>Tags</t>
  </si>
  <si>
    <t>Destista</t>
  </si>
  <si>
    <t>Bolsa faculdade</t>
  </si>
  <si>
    <t>CDB C6</t>
  </si>
  <si>
    <t>Millenium lanches</t>
  </si>
  <si>
    <t>Starbuks</t>
  </si>
  <si>
    <t xml:space="preserve"> Ad Salário</t>
  </si>
  <si>
    <t>VARIEDADES COMERCIO</t>
  </si>
  <si>
    <t>COOPER</t>
  </si>
  <si>
    <t>FARMACIA</t>
  </si>
  <si>
    <t>MERCADO ALBANO</t>
  </si>
  <si>
    <t>PANIF PIRES</t>
  </si>
  <si>
    <t>Finclas Rodrigo</t>
  </si>
  <si>
    <t>Abajur Sol</t>
  </si>
  <si>
    <t>Curso Cientista</t>
  </si>
  <si>
    <t>Renner</t>
  </si>
  <si>
    <t>Iphone</t>
  </si>
  <si>
    <t>Toniinho</t>
  </si>
  <si>
    <t>Pão</t>
  </si>
  <si>
    <t>Barratinha</t>
  </si>
  <si>
    <t>STATUS</t>
  </si>
  <si>
    <t>PLANO DE AÇÃO 5W2H</t>
  </si>
  <si>
    <t>5W</t>
  </si>
  <si>
    <t>2H</t>
  </si>
  <si>
    <t>Reduzir gastos para acelerar/aumentar investimentos</t>
  </si>
  <si>
    <t>PORQUE? (WHY)</t>
  </si>
  <si>
    <t>O QUÊ? (WHAT)</t>
  </si>
  <si>
    <t>ONDE? (WHERE)</t>
  </si>
  <si>
    <t>Compras desnecessárias</t>
  </si>
  <si>
    <t>Marcos</t>
  </si>
  <si>
    <t>COMO? (HOW)</t>
  </si>
  <si>
    <t>QUEM? (WHO)</t>
  </si>
  <si>
    <t>QUANDO? (WHEN)</t>
  </si>
  <si>
    <t>QUANTO CUSTA? (HOW MUCH)</t>
  </si>
  <si>
    <t>Usar cartão apenas para programas de assinatura.</t>
  </si>
  <si>
    <t>Livro Poder do hábito</t>
  </si>
  <si>
    <t>Executar preenchimento da planilha diariamente.</t>
  </si>
  <si>
    <t>Manter organização evitando erros e perda de tempo no preenchimento</t>
  </si>
  <si>
    <t>Aplicativo</t>
  </si>
  <si>
    <t>Excel</t>
  </si>
  <si>
    <t>Todo dia a noite.</t>
  </si>
  <si>
    <t>Ir trabalhar de bike ou de Ônibus.</t>
  </si>
  <si>
    <t>Fazer planejamento de gastos mensal</t>
  </si>
  <si>
    <t>Evoluir controle e aumentar investimentos.</t>
  </si>
  <si>
    <t>Mensal com revisão Quinzenal.</t>
  </si>
  <si>
    <t>Reduzir gastos para acelerar/aumentar investimentos.</t>
  </si>
  <si>
    <t xml:space="preserve">Reduzir gastos para acelerar/aumentar investimentos. </t>
  </si>
  <si>
    <t>Reduzir gastos com lazer em 20%, em fevereiro foi 539$</t>
  </si>
  <si>
    <t>Reduzir gastos com transporte em 30%. Em Fevereiro foi 677$.</t>
  </si>
  <si>
    <t xml:space="preserve">Reduzir custo com cartão C6 20%. Em fevereiro foi 626. </t>
  </si>
  <si>
    <t>Reduzir custo com cartão Hipercarde 50%.Em fevereiro foi 543$.</t>
  </si>
  <si>
    <t>Menos saídas e compras.</t>
  </si>
  <si>
    <t>casa china</t>
  </si>
  <si>
    <t>Alelo</t>
  </si>
  <si>
    <t>Livro Av. de Mike</t>
  </si>
  <si>
    <t>Amazon Prime</t>
  </si>
  <si>
    <t>Data de Compra</t>
  </si>
  <si>
    <t>Passe onibus</t>
  </si>
  <si>
    <t>Sorvete</t>
  </si>
  <si>
    <t>Biz Pedro</t>
  </si>
  <si>
    <t>Mercado bafonica</t>
  </si>
  <si>
    <t>Remédio Preço popular</t>
  </si>
  <si>
    <t>Palmeirão</t>
  </si>
  <si>
    <t>Mundial Mix</t>
  </si>
  <si>
    <t>Remédio Pedro (Denge)</t>
  </si>
  <si>
    <t>Posto Principe</t>
  </si>
  <si>
    <t>Viagem Treking</t>
  </si>
  <si>
    <t>Camisetas</t>
  </si>
  <si>
    <t>Calça</t>
  </si>
  <si>
    <t>Tenis</t>
  </si>
  <si>
    <t>Poupança</t>
  </si>
  <si>
    <t>Liv CTBA</t>
  </si>
  <si>
    <t>maio</t>
  </si>
  <si>
    <t>valor</t>
  </si>
  <si>
    <t>Março</t>
  </si>
  <si>
    <t>Abril</t>
  </si>
  <si>
    <t>Rodrigo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</si>
</sst>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44" formatCode="_-&quot;R$&quot;\ * #,##0.00_-;\-&quot;R$&quot;\ * #,##0.00_-;_-&quot;R$&quot;\ * &quot;-&quot;??_-;_-@_-"/>
    <numFmt numFmtId="164" formatCode="&quot;R$&quot;\ #,##0.00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9"/>
      <color indexed="81"/>
      <name val="Segoe UI"/>
      <family val="2"/>
    </font>
    <font>
      <b/>
      <sz val="9"/>
      <color indexed="81"/>
      <name val="Segoe UI"/>
      <family val="2"/>
    </font>
    <font>
      <b/>
      <sz val="21"/>
      <color theme="1" tint="0.249977111117893"/>
      <name val="Arial"/>
      <family val="2"/>
    </font>
    <font>
      <b/>
      <sz val="13"/>
      <color theme="0"/>
      <name val="Arial"/>
      <family val="2"/>
    </font>
    <font>
      <sz val="11"/>
      <color theme="0"/>
      <name val="Arial"/>
      <family val="2"/>
    </font>
    <font>
      <sz val="11"/>
      <color theme="1"/>
      <name val="Arial"/>
      <family val="2"/>
    </font>
    <font>
      <sz val="8"/>
      <color theme="1"/>
      <name val="Arial"/>
      <family val="2"/>
    </font>
    <font>
      <b/>
      <sz val="21"/>
      <color theme="0"/>
      <name val="Arial"/>
      <family val="2"/>
    </font>
    <font>
      <sz val="8"/>
      <color rgb="FF00000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D9D9D9"/>
        <bgColor rgb="FFD9D9D9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59999389629810485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indexed="64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indexed="64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indexed="64"/>
      </left>
      <right style="thin">
        <color indexed="64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indexed="64"/>
      </left>
      <right/>
      <top style="thin">
        <color theme="0"/>
      </top>
      <bottom style="thin">
        <color theme="0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88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44" fontId="0" fillId="0" borderId="0" xfId="0" applyNumberFormat="1"/>
    <xf numFmtId="0" fontId="0" fillId="0" borderId="0" xfId="0" applyAlignment="1">
      <alignment horizontal="left" indent="1"/>
    </xf>
    <xf numFmtId="44" fontId="0" fillId="0" borderId="0" xfId="1" applyFont="1"/>
    <xf numFmtId="164" fontId="0" fillId="0" borderId="0" xfId="0" applyNumberFormat="1"/>
    <xf numFmtId="4" fontId="0" fillId="0" borderId="0" xfId="0" applyNumberFormat="1"/>
    <xf numFmtId="0" fontId="3" fillId="4" borderId="0" xfId="0" applyFont="1" applyFill="1"/>
    <xf numFmtId="9" fontId="0" fillId="0" borderId="0" xfId="2" applyFont="1"/>
    <xf numFmtId="0" fontId="2" fillId="0" borderId="0" xfId="0" applyFont="1"/>
    <xf numFmtId="9" fontId="2" fillId="0" borderId="0" xfId="2" applyFont="1" applyBorder="1"/>
    <xf numFmtId="0" fontId="9" fillId="0" borderId="1" xfId="0" applyFont="1" applyBorder="1" applyAlignment="1">
      <alignment horizontal="left" vertical="center" wrapText="1"/>
    </xf>
    <xf numFmtId="0" fontId="9" fillId="0" borderId="1" xfId="0" applyFont="1" applyBorder="1" applyAlignment="1">
      <alignment horizontal="center" vertical="center"/>
    </xf>
    <xf numFmtId="16" fontId="9" fillId="0" borderId="1" xfId="0" applyNumberFormat="1" applyFont="1" applyBorder="1" applyAlignment="1">
      <alignment horizontal="center" vertical="center"/>
    </xf>
    <xf numFmtId="0" fontId="9" fillId="0" borderId="1" xfId="0" applyFont="1" applyBorder="1" applyAlignment="1">
      <alignment horizontal="left" vertical="center"/>
    </xf>
    <xf numFmtId="0" fontId="9" fillId="0" borderId="0" xfId="0" applyFont="1" applyAlignment="1">
      <alignment horizontal="left" vertical="center" wrapText="1"/>
    </xf>
    <xf numFmtId="0" fontId="9" fillId="0" borderId="0" xfId="0" applyFont="1" applyAlignment="1">
      <alignment horizontal="center" vertical="center"/>
    </xf>
    <xf numFmtId="0" fontId="9" fillId="0" borderId="0" xfId="0" applyFont="1" applyAlignment="1">
      <alignment horizontal="left" vertical="center"/>
    </xf>
    <xf numFmtId="0" fontId="10" fillId="3" borderId="0" xfId="0" applyFont="1" applyFill="1" applyAlignment="1" applyProtection="1">
      <alignment horizontal="left"/>
      <protection locked="0"/>
    </xf>
    <xf numFmtId="44" fontId="10" fillId="3" borderId="0" xfId="1" applyFont="1" applyFill="1" applyAlignment="1" applyProtection="1">
      <alignment horizontal="left"/>
      <protection locked="0"/>
    </xf>
    <xf numFmtId="14" fontId="10" fillId="3" borderId="0" xfId="0" applyNumberFormat="1" applyFont="1" applyFill="1" applyAlignment="1" applyProtection="1">
      <alignment horizontal="left"/>
      <protection locked="0"/>
    </xf>
    <xf numFmtId="0" fontId="11" fillId="3" borderId="0" xfId="0" applyFont="1" applyFill="1" applyProtection="1">
      <protection locked="0"/>
    </xf>
    <xf numFmtId="0" fontId="10" fillId="0" borderId="0" xfId="0" applyFont="1" applyProtection="1">
      <protection locked="0"/>
    </xf>
    <xf numFmtId="0" fontId="11" fillId="3" borderId="0" xfId="0" applyFont="1" applyFill="1" applyAlignment="1" applyProtection="1">
      <alignment horizontal="left" vertical="top"/>
      <protection locked="0"/>
    </xf>
    <xf numFmtId="0" fontId="9" fillId="0" borderId="0" xfId="0" applyFont="1" applyProtection="1">
      <protection locked="0"/>
    </xf>
    <xf numFmtId="44" fontId="9" fillId="0" borderId="0" xfId="0" applyNumberFormat="1" applyFont="1" applyProtection="1">
      <protection locked="0"/>
    </xf>
    <xf numFmtId="0" fontId="10" fillId="2" borderId="3" xfId="0" applyFont="1" applyFill="1" applyBorder="1" applyAlignment="1" applyProtection="1">
      <alignment horizontal="center" vertical="center" wrapText="1"/>
      <protection locked="0"/>
    </xf>
    <xf numFmtId="0" fontId="10" fillId="2" borderId="2" xfId="0" applyFont="1" applyFill="1" applyBorder="1" applyAlignment="1" applyProtection="1">
      <alignment horizontal="center" vertical="center" wrapText="1"/>
      <protection locked="0"/>
    </xf>
    <xf numFmtId="44" fontId="10" fillId="2" borderId="2" xfId="1" applyFont="1" applyFill="1" applyBorder="1" applyAlignment="1" applyProtection="1">
      <alignment horizontal="center" vertical="center" wrapText="1"/>
      <protection locked="0"/>
    </xf>
    <xf numFmtId="14" fontId="10" fillId="2" borderId="2" xfId="1" applyNumberFormat="1" applyFont="1" applyFill="1" applyBorder="1" applyAlignment="1" applyProtection="1">
      <alignment horizontal="center" vertical="center" wrapText="1"/>
      <protection locked="0"/>
    </xf>
    <xf numFmtId="14" fontId="10" fillId="2" borderId="5" xfId="1" applyNumberFormat="1" applyFont="1" applyFill="1" applyBorder="1" applyAlignment="1" applyProtection="1">
      <alignment horizontal="center" vertical="center" wrapText="1"/>
      <protection locked="0"/>
    </xf>
    <xf numFmtId="0" fontId="10" fillId="0" borderId="0" xfId="0" applyFont="1" applyAlignment="1" applyProtection="1">
      <alignment horizontal="center" vertical="center" wrapText="1"/>
      <protection locked="0"/>
    </xf>
    <xf numFmtId="0" fontId="10" fillId="0" borderId="4" xfId="0" applyFont="1" applyBorder="1" applyAlignment="1" applyProtection="1">
      <alignment horizontal="left"/>
      <protection locked="0"/>
    </xf>
    <xf numFmtId="0" fontId="10" fillId="0" borderId="1" xfId="0" applyFont="1" applyBorder="1" applyAlignment="1" applyProtection="1">
      <alignment horizontal="left"/>
      <protection locked="0"/>
    </xf>
    <xf numFmtId="44" fontId="10" fillId="0" borderId="1" xfId="1" applyFont="1" applyBorder="1" applyAlignment="1" applyProtection="1">
      <alignment horizontal="left"/>
      <protection locked="0"/>
    </xf>
    <xf numFmtId="14" fontId="10" fillId="0" borderId="1" xfId="0" applyNumberFormat="1" applyFont="1" applyBorder="1" applyAlignment="1" applyProtection="1">
      <alignment horizontal="left"/>
      <protection locked="0"/>
    </xf>
    <xf numFmtId="0" fontId="10" fillId="0" borderId="1" xfId="0" applyFont="1" applyBorder="1" applyAlignment="1">
      <alignment horizontal="left"/>
    </xf>
    <xf numFmtId="14" fontId="10" fillId="0" borderId="1" xfId="0" applyNumberFormat="1" applyFont="1" applyBorder="1" applyAlignment="1">
      <alignment horizontal="left"/>
    </xf>
    <xf numFmtId="14" fontId="10" fillId="2" borderId="6" xfId="0" applyNumberFormat="1" applyFont="1" applyFill="1" applyBorder="1" applyAlignment="1">
      <alignment horizontal="left"/>
    </xf>
    <xf numFmtId="0" fontId="10" fillId="0" borderId="7" xfId="0" applyFont="1" applyBorder="1" applyAlignment="1" applyProtection="1">
      <alignment horizontal="left"/>
      <protection locked="0"/>
    </xf>
    <xf numFmtId="44" fontId="10" fillId="0" borderId="8" xfId="1" applyFont="1" applyBorder="1" applyAlignment="1" applyProtection="1">
      <alignment horizontal="left"/>
      <protection locked="0"/>
    </xf>
    <xf numFmtId="14" fontId="10" fillId="0" borderId="8" xfId="0" applyNumberFormat="1" applyFont="1" applyBorder="1" applyAlignment="1" applyProtection="1">
      <alignment horizontal="left"/>
      <protection locked="0"/>
    </xf>
    <xf numFmtId="14" fontId="10" fillId="0" borderId="8" xfId="0" applyNumberFormat="1" applyFont="1" applyBorder="1" applyAlignment="1">
      <alignment horizontal="left"/>
    </xf>
    <xf numFmtId="0" fontId="10" fillId="0" borderId="8" xfId="0" applyFont="1" applyBorder="1" applyAlignment="1" applyProtection="1">
      <alignment horizontal="left"/>
      <protection locked="0"/>
    </xf>
    <xf numFmtId="14" fontId="10" fillId="2" borderId="9" xfId="0" applyNumberFormat="1" applyFont="1" applyFill="1" applyBorder="1" applyAlignment="1">
      <alignment horizontal="left"/>
    </xf>
    <xf numFmtId="14" fontId="12" fillId="5" borderId="1" xfId="0" applyNumberFormat="1" applyFont="1" applyFill="1" applyBorder="1" applyAlignment="1" applyProtection="1">
      <alignment horizontal="left"/>
      <protection locked="0"/>
    </xf>
    <xf numFmtId="0" fontId="12" fillId="5" borderId="1" xfId="0" applyFont="1" applyFill="1" applyBorder="1" applyAlignment="1" applyProtection="1">
      <alignment horizontal="left"/>
      <protection locked="0"/>
    </xf>
    <xf numFmtId="0" fontId="12" fillId="0" borderId="1" xfId="0" applyFont="1" applyBorder="1" applyAlignment="1" applyProtection="1">
      <alignment horizontal="left"/>
      <protection locked="0"/>
    </xf>
    <xf numFmtId="0" fontId="12" fillId="0" borderId="4" xfId="0" applyFont="1" applyBorder="1" applyAlignment="1" applyProtection="1">
      <alignment horizontal="left"/>
      <protection locked="0"/>
    </xf>
    <xf numFmtId="0" fontId="10" fillId="0" borderId="7" xfId="0" applyFont="1" applyBorder="1" applyAlignment="1">
      <alignment horizontal="left"/>
    </xf>
    <xf numFmtId="0" fontId="10" fillId="0" borderId="8" xfId="0" applyFont="1" applyBorder="1" applyAlignment="1">
      <alignment horizontal="left"/>
    </xf>
    <xf numFmtId="44" fontId="10" fillId="0" borderId="8" xfId="0" applyNumberFormat="1" applyFont="1" applyBorder="1" applyAlignment="1">
      <alignment horizontal="left"/>
    </xf>
    <xf numFmtId="0" fontId="9" fillId="0" borderId="0" xfId="0" applyFont="1"/>
    <xf numFmtId="0" fontId="10" fillId="0" borderId="0" xfId="0" applyFont="1" applyAlignment="1" applyProtection="1">
      <alignment horizontal="left"/>
      <protection locked="0"/>
    </xf>
    <xf numFmtId="44" fontId="10" fillId="0" borderId="0" xfId="1" applyFont="1" applyAlignment="1" applyProtection="1">
      <alignment horizontal="left"/>
      <protection locked="0"/>
    </xf>
    <xf numFmtId="14" fontId="10" fillId="0" borderId="0" xfId="0" applyNumberFormat="1" applyFont="1" applyAlignment="1" applyProtection="1">
      <alignment horizontal="left"/>
      <protection locked="0"/>
    </xf>
    <xf numFmtId="0" fontId="0" fillId="0" borderId="0" xfId="0" applyAlignment="1">
      <alignment horizontal="center" vertical="center" wrapText="1"/>
    </xf>
    <xf numFmtId="0" fontId="9" fillId="0" borderId="2" xfId="0" applyFont="1" applyBorder="1" applyAlignment="1">
      <alignment horizontal="left" vertical="center" wrapText="1"/>
    </xf>
    <xf numFmtId="0" fontId="9" fillId="0" borderId="2" xfId="0" applyFont="1" applyBorder="1" applyAlignment="1">
      <alignment horizontal="center" vertical="center"/>
    </xf>
    <xf numFmtId="16" fontId="9" fillId="0" borderId="2" xfId="0" applyNumberFormat="1" applyFont="1" applyBorder="1" applyAlignment="1">
      <alignment horizontal="center" vertical="center"/>
    </xf>
    <xf numFmtId="0" fontId="9" fillId="0" borderId="2" xfId="0" applyFont="1" applyBorder="1" applyAlignment="1">
      <alignment horizontal="left" vertical="center"/>
    </xf>
    <xf numFmtId="0" fontId="8" fillId="3" borderId="11" xfId="0" applyFont="1" applyFill="1" applyBorder="1" applyAlignment="1">
      <alignment horizontal="center" vertical="center" wrapText="1"/>
    </xf>
    <xf numFmtId="0" fontId="9" fillId="0" borderId="10" xfId="0" applyFont="1" applyBorder="1" applyAlignment="1">
      <alignment horizontal="left" vertical="center" wrapText="1"/>
    </xf>
    <xf numFmtId="0" fontId="8" fillId="3" borderId="14" xfId="0" applyFont="1" applyFill="1" applyBorder="1" applyAlignment="1">
      <alignment horizontal="center" vertical="center" wrapText="1"/>
    </xf>
    <xf numFmtId="0" fontId="8" fillId="3" borderId="16" xfId="0" applyFont="1" applyFill="1" applyBorder="1" applyAlignment="1">
      <alignment horizontal="center" vertical="center" wrapText="1"/>
    </xf>
    <xf numFmtId="0" fontId="0" fillId="0" borderId="17" xfId="0" applyBorder="1"/>
    <xf numFmtId="0" fontId="0" fillId="0" borderId="17" xfId="0" applyBorder="1" applyAlignment="1">
      <alignment horizontal="center" vertical="center" wrapText="1"/>
    </xf>
    <xf numFmtId="0" fontId="9" fillId="0" borderId="5" xfId="0" applyFont="1" applyBorder="1" applyAlignment="1">
      <alignment horizontal="center" vertical="center"/>
    </xf>
    <xf numFmtId="0" fontId="8" fillId="3" borderId="19" xfId="0" applyFont="1" applyFill="1" applyBorder="1" applyAlignment="1">
      <alignment horizontal="center" vertical="center" wrapText="1"/>
    </xf>
    <xf numFmtId="16" fontId="9" fillId="0" borderId="6" xfId="0" applyNumberFormat="1" applyFont="1" applyBorder="1" applyAlignment="1">
      <alignment horizontal="center" vertical="center"/>
    </xf>
    <xf numFmtId="0" fontId="9" fillId="0" borderId="10" xfId="0" applyFont="1" applyBorder="1" applyAlignment="1">
      <alignment horizontal="left" vertical="center"/>
    </xf>
    <xf numFmtId="0" fontId="9" fillId="0" borderId="5" xfId="0" applyFont="1" applyBorder="1" applyAlignment="1">
      <alignment horizontal="left" vertical="center"/>
    </xf>
    <xf numFmtId="0" fontId="0" fillId="0" borderId="12" xfId="0" applyBorder="1"/>
    <xf numFmtId="44" fontId="8" fillId="3" borderId="11" xfId="1" applyFont="1" applyFill="1" applyBorder="1" applyAlignment="1">
      <alignment horizontal="center" vertical="center" wrapText="1"/>
    </xf>
    <xf numFmtId="44" fontId="9" fillId="0" borderId="2" xfId="1" applyFont="1" applyBorder="1" applyAlignment="1">
      <alignment horizontal="center" vertical="center"/>
    </xf>
    <xf numFmtId="44" fontId="9" fillId="0" borderId="1" xfId="1" applyFont="1" applyBorder="1" applyAlignment="1">
      <alignment horizontal="center" vertical="center"/>
    </xf>
    <xf numFmtId="44" fontId="9" fillId="0" borderId="0" xfId="1" applyFont="1" applyAlignment="1">
      <alignment horizontal="center" vertical="center"/>
    </xf>
    <xf numFmtId="0" fontId="6" fillId="6" borderId="8" xfId="0" applyFont="1" applyFill="1" applyBorder="1" applyAlignment="1">
      <alignment horizontal="center" vertical="center"/>
    </xf>
    <xf numFmtId="0" fontId="6" fillId="6" borderId="9" xfId="0" applyFont="1" applyFill="1" applyBorder="1" applyAlignment="1">
      <alignment horizontal="center" vertical="center"/>
    </xf>
    <xf numFmtId="0" fontId="7" fillId="4" borderId="13" xfId="0" applyFont="1" applyFill="1" applyBorder="1" applyAlignment="1">
      <alignment horizontal="center" vertical="center"/>
    </xf>
    <xf numFmtId="0" fontId="7" fillId="4" borderId="15" xfId="0" applyFont="1" applyFill="1" applyBorder="1" applyAlignment="1">
      <alignment horizontal="center" vertical="center"/>
    </xf>
    <xf numFmtId="0" fontId="7" fillId="4" borderId="20" xfId="0" applyFont="1" applyFill="1" applyBorder="1" applyAlignment="1">
      <alignment horizontal="center" vertical="center"/>
    </xf>
    <xf numFmtId="0" fontId="7" fillId="7" borderId="13" xfId="0" applyFont="1" applyFill="1" applyBorder="1" applyAlignment="1">
      <alignment horizontal="center" vertical="center"/>
    </xf>
    <xf numFmtId="0" fontId="7" fillId="7" borderId="12" xfId="0" applyFont="1" applyFill="1" applyBorder="1" applyAlignment="1">
      <alignment horizontal="center" vertical="center"/>
    </xf>
    <xf numFmtId="0" fontId="8" fillId="3" borderId="18" xfId="0" applyFont="1" applyFill="1" applyBorder="1" applyAlignment="1">
      <alignment horizontal="center" vertical="center" wrapText="1"/>
    </xf>
    <xf numFmtId="0" fontId="8" fillId="3" borderId="16" xfId="0" applyFont="1" applyFill="1" applyBorder="1" applyAlignment="1">
      <alignment horizontal="center" vertical="center" wrapText="1"/>
    </xf>
    <xf numFmtId="44" fontId="0" fillId="8" borderId="0" xfId="1" applyFont="1" applyFill="1"/>
  </cellXfs>
  <cellStyles count="3">
    <cellStyle name="Moeda" xfId="1" builtinId="4"/>
    <cellStyle name="Normal" xfId="0" builtinId="0"/>
    <cellStyle name="Porcentagem" xfId="2" builtinId="5"/>
  </cellStyles>
  <dxfs count="35">
    <dxf>
      <font>
        <color theme="0"/>
      </font>
      <fill>
        <gradientFill type="path">
          <stop position="0">
            <color theme="0"/>
          </stop>
          <stop position="1">
            <color rgb="FF00B050"/>
          </stop>
        </gradientFill>
      </fill>
    </dxf>
    <dxf>
      <font>
        <color theme="0"/>
      </font>
      <fill>
        <gradientFill type="path">
          <stop position="0">
            <color theme="0"/>
          </stop>
          <stop position="1">
            <color rgb="FF00B0F0"/>
          </stop>
        </gradientFill>
      </fill>
    </dxf>
    <dxf>
      <fill>
        <gradientFill degree="270">
          <stop position="0">
            <color theme="0"/>
          </stop>
          <stop position="1">
            <color theme="4"/>
          </stop>
        </gradientFill>
      </fill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164" formatCode="&quot;R$&quot;\ #,##0.00"/>
    </dxf>
    <dxf>
      <numFmt numFmtId="34" formatCode="_-&quot;R$&quot;\ * #,##0.00_-;\-&quot;R$&quot;\ * #,##0.00_-;_-&quot;R$&quot;\ 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numFmt numFmtId="19" formatCode="dd/mm/yyyy"/>
      <fill>
        <patternFill patternType="solid">
          <fgColor indexed="64"/>
          <bgColor theme="0" tint="-0.14999847407452621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numFmt numFmtId="19" formatCode="dd/mm/yyyy"/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numFmt numFmtId="0" formatCode="General"/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numFmt numFmtId="19" formatCode="dd/mm/yyyy"/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numFmt numFmtId="19" formatCode="dd/mm/yyyy"/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numFmt numFmtId="34" formatCode="_-&quot;R$&quot;\ * #,##0.00_-;\-&quot;R$&quot;\ * #,##0.00_-;_-&quot;R$&quot;\ * &quot;-&quot;??_-;_-@_-"/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alignment horizontal="left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alignment horizontal="left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border outline="0">
        <top style="thin">
          <color indexed="64"/>
        </top>
      </border>
    </dxf>
    <dxf>
      <font>
        <strike val="0"/>
        <outline val="0"/>
        <shadow val="0"/>
        <u val="none"/>
        <vertAlign val="baseline"/>
        <name val="Arial"/>
        <family val="2"/>
        <scheme val="none"/>
      </font>
      <numFmt numFmtId="165" formatCode="dd/mm/\y\y\y\y"/>
      <protection locked="0" hidden="0"/>
    </dxf>
    <dxf>
      <border outline="0"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numFmt numFmtId="19" formatCode="dd/mm/yyyy"/>
      <alignment horizontal="left" vertical="bottom" textRotation="0" wrapText="0" indent="0" justifyLastLine="0" shrinkToFit="0" readingOrder="0"/>
      <protection locked="0" hidden="0"/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numFmt numFmtId="19" formatCode="dd/mm/yyyy"/>
      <fill>
        <patternFill patternType="solid">
          <fgColor indexed="64"/>
          <bgColor theme="0" tint="-0.1499984740745262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  <protection locked="0" hidden="0"/>
    </dxf>
    <dxf>
      <fill>
        <patternFill patternType="none">
          <bgColor auto="1"/>
        </patternFill>
      </fill>
    </dxf>
  </dxfs>
  <tableStyles count="2" defaultTableStyle="TableStyleMedium2" defaultPivotStyle="PivotStyleLight16">
    <tableStyle name="Estilo de Segmentação de Dados 1" pivot="0" table="0" count="0" xr9:uid="{E25120F9-A962-47E1-BDE6-475542383E88}"/>
    <tableStyle name="Estilo de Segmentação de Dados 2" pivot="0" table="0" count="1" xr9:uid="{4E73E40E-91E7-4F47-A7D8-C3361B75E175}">
      <tableStyleElement type="wholeTable" dxfId="34"/>
    </tableStyle>
  </tableStyles>
  <colors>
    <mruColors>
      <color rgb="FF0070C0"/>
    </mruColors>
  </colors>
  <extLst>
    <ext xmlns:x14="http://schemas.microsoft.com/office/spreadsheetml/2009/9/main" uri="{EB79DEF2-80B8-43e5-95BD-54CBDDF9020C}">
      <x14:slicerStyles defaultSlicerStyle="SlicerStyleLight1">
        <x14:slicerStyle name="Estilo de Segmentação de Dados 1"/>
        <x14:slicerStyle name="Estilo de Segmentação de Dados 2"/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07/relationships/slicerCache" Target="slicerCaches/slicerCache1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07/relationships/slicerCache" Target="slicerCaches/slicerCache4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microsoft.com/office/2007/relationships/slicerCache" Target="slicerCaches/slicerCache3.xml"/><Relationship Id="rId4" Type="http://schemas.openxmlformats.org/officeDocument/2006/relationships/worksheet" Target="worksheets/sheet4.xml"/><Relationship Id="rId9" Type="http://schemas.microsoft.com/office/2007/relationships/slicerCache" Target="slicerCaches/slicerCache2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.xml"/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[2024 Controle financeiro_V.2.xlsx]TABELAS!Tabela dinâmica1</c:name>
    <c:fmtId val="1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rgbClr val="002060"/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rgbClr val="002060"/>
                </a:solidFill>
              </a:rPr>
              <a:t>Resumo de carteira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rgbClr val="002060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4"/>
        <c:spPr>
          <a:solidFill>
            <a:srgbClr val="00B050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5"/>
        <c:spPr>
          <a:solidFill>
            <a:schemeClr val="accent2">
              <a:lumMod val="75000"/>
            </a:schemeClr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</c:pivotFmts>
    <c:plotArea>
      <c:layout>
        <c:manualLayout>
          <c:layoutTarget val="inner"/>
          <c:xMode val="edge"/>
          <c:yMode val="edge"/>
          <c:x val="0.24869736244209786"/>
          <c:y val="0.24066892680081656"/>
          <c:w val="0.53016772128290157"/>
          <c:h val="0.71241287547389898"/>
        </c:manualLayout>
      </c:layout>
      <c:doughnutChart>
        <c:varyColors val="1"/>
        <c:ser>
          <c:idx val="0"/>
          <c:order val="0"/>
          <c:tx>
            <c:strRef>
              <c:f>TABELAS!$J$5</c:f>
              <c:strCache>
                <c:ptCount val="1"/>
                <c:pt idx="0">
                  <c:v>Total</c:v>
                </c:pt>
              </c:strCache>
            </c:strRef>
          </c:tx>
          <c:explosion val="2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56DC-41EC-A6AF-5A09A0680D8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C9FD-40F4-AE32-E64B458F602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C9FD-40F4-AE32-E64B458F602B}"/>
              </c:ext>
            </c:extLst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TABELAS!$I$6:$I$7</c:f>
              <c:strCache>
                <c:ptCount val="1"/>
                <c:pt idx="0">
                  <c:v>Essencial</c:v>
                </c:pt>
              </c:strCache>
            </c:strRef>
          </c:cat>
          <c:val>
            <c:numRef>
              <c:f>TABELAS!$J$6:$J$7</c:f>
              <c:numCache>
                <c:formatCode>"R$"\ #,##0.00</c:formatCode>
                <c:ptCount val="1"/>
                <c:pt idx="0">
                  <c:v>441.06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6DC-41EC-A6AF-5A09A0680D83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235"/>
        <c:holeSize val="50"/>
      </c:doughnutChart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16774135791165642"/>
          <c:y val="0.13877333041703122"/>
          <c:w val="0.66451728417668721"/>
          <c:h val="7.8125546806649168E-2"/>
        </c:manualLayout>
      </c:layout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[2024 Controle financeiro_V.2.xlsx]TABELAS!Tabela dinâmica3</c:name>
    <c:fmtId val="7"/>
  </c:pivotSource>
  <c:chart>
    <c:autoTitleDeleted val="1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>
            <a:gsLst>
              <a:gs pos="0">
                <a:schemeClr val="accent1"/>
              </a:gs>
              <a:gs pos="100000">
                <a:schemeClr val="accent1">
                  <a:lumMod val="84000"/>
                </a:schemeClr>
              </a:gs>
            </a:gsLst>
            <a:lin ang="5400000" scaled="1"/>
          </a:gradFill>
          <a:ln>
            <a:noFill/>
          </a:ln>
          <a:effectLst>
            <a:outerShdw blurRad="76200" dir="18900000" sy="23000" kx="-1200000" algn="bl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0">
              <a:spAutoFit/>
            </a:bodyPr>
            <a:lstStyle/>
            <a:p>
              <a:pPr algn="ctr">
                <a:defRPr lang="en-US" sz="1000" b="1" i="0" u="none" strike="noStrike" kern="1200" baseline="0">
                  <a:solidFill>
                    <a:srgbClr val="002060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TABELAS!$C$5</c:f>
              <c:strCache>
                <c:ptCount val="1"/>
                <c:pt idx="0">
                  <c:v>Total</c:v>
                </c:pt>
              </c:strCache>
            </c:strRef>
          </c:tx>
          <c:spPr>
            <a:gradFill>
              <a:gsLst>
                <a:gs pos="0">
                  <a:schemeClr val="accent1"/>
                </a:gs>
                <a:gs pos="100000">
                  <a:schemeClr val="accent1">
                    <a:lumMod val="84000"/>
                  </a:schemeClr>
                </a:gs>
              </a:gsLst>
              <a:lin ang="5400000" scaled="1"/>
            </a:gradFill>
            <a:ln>
              <a:noFill/>
            </a:ln>
            <a:effectLst>
              <a:outerShdw blurRad="76200" dir="18900000" sy="23000" kx="-1200000" algn="bl" rotWithShape="0">
                <a:prstClr val="black">
                  <a:alpha val="20000"/>
                </a:prst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0">
                <a:spAutoFit/>
              </a:bodyPr>
              <a:lstStyle/>
              <a:p>
                <a:pPr algn="ctr">
                  <a:defRPr lang="en-US" sz="1000" b="1" i="0" u="none" strike="noStrike" kern="1200" baseline="0">
                    <a:solidFill>
                      <a:srgbClr val="002060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TABELAS!$B$6:$B$7</c:f>
              <c:strCache>
                <c:ptCount val="1"/>
                <c:pt idx="0">
                  <c:v>Mercado</c:v>
                </c:pt>
              </c:strCache>
            </c:strRef>
          </c:cat>
          <c:val>
            <c:numRef>
              <c:f>TABELAS!$C$6:$C$7</c:f>
              <c:numCache>
                <c:formatCode>"R$"\ #,##0.00</c:formatCode>
                <c:ptCount val="1"/>
                <c:pt idx="0">
                  <c:v>441.06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9CE-4D53-80D8-98AEFCAC0EF5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9"/>
        <c:axId val="1250686623"/>
        <c:axId val="1493767039"/>
      </c:barChart>
      <c:catAx>
        <c:axId val="12506866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3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effectLst/>
                <a:latin typeface="+mn-lt"/>
                <a:ea typeface="+mn-ea"/>
                <a:cs typeface="+mn-cs"/>
              </a:defRPr>
            </a:pPr>
            <a:endParaRPr lang="pt-BR"/>
          </a:p>
        </c:txPr>
        <c:crossAx val="1493767039"/>
        <c:crosses val="autoZero"/>
        <c:auto val="1"/>
        <c:lblAlgn val="ctr"/>
        <c:lblOffset val="100"/>
        <c:noMultiLvlLbl val="0"/>
      </c:catAx>
      <c:valAx>
        <c:axId val="1493767039"/>
        <c:scaling>
          <c:orientation val="minMax"/>
        </c:scaling>
        <c:delete val="1"/>
        <c:axPos val="l"/>
        <c:numFmt formatCode="&quot;R$&quot;\ #,##0.00" sourceLinked="1"/>
        <c:majorTickMark val="none"/>
        <c:minorTickMark val="none"/>
        <c:tickLblPos val="nextTo"/>
        <c:crossAx val="125068662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[2024 Controle financeiro_V.2.xlsx]TABELAS!Tabela dinâmica5</c:name>
    <c:fmtId val="17"/>
  </c:pivotSource>
  <c:chart>
    <c:autoTitleDeleted val="1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>
            <a:gsLst>
              <a:gs pos="0">
                <a:schemeClr val="accent1"/>
              </a:gs>
              <a:gs pos="100000">
                <a:schemeClr val="accent1">
                  <a:lumMod val="84000"/>
                </a:schemeClr>
              </a:gs>
            </a:gsLst>
            <a:lin ang="5400000" scaled="1"/>
          </a:gradFill>
          <a:ln>
            <a:noFill/>
          </a:ln>
          <a:effectLst>
            <a:outerShdw blurRad="76200" dir="18900000" sy="23000" kx="-1200000" algn="bl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ellipsis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rgbClr val="002060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1.8659881255301103E-2"/>
          <c:y val="0.24284919830565735"/>
          <c:w val="0.96268023748939779"/>
          <c:h val="0.532840622644941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TABELAS!$M$5</c:f>
              <c:strCache>
                <c:ptCount val="1"/>
                <c:pt idx="0">
                  <c:v>Total</c:v>
                </c:pt>
              </c:strCache>
            </c:strRef>
          </c:tx>
          <c:spPr>
            <a:gradFill>
              <a:gsLst>
                <a:gs pos="0">
                  <a:schemeClr val="accent1"/>
                </a:gs>
                <a:gs pos="100000">
                  <a:schemeClr val="accent1">
                    <a:lumMod val="84000"/>
                  </a:schemeClr>
                </a:gs>
              </a:gsLst>
              <a:lin ang="5400000" scaled="1"/>
            </a:gradFill>
            <a:ln>
              <a:noFill/>
            </a:ln>
            <a:effectLst>
              <a:outerShdw blurRad="76200" dir="18900000" sy="23000" kx="-1200000" algn="bl" rotWithShape="0">
                <a:prstClr val="black">
                  <a:alpha val="20000"/>
                </a:prst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rgbClr val="002060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f>TABELAS!$L$6:$L$8</c:f>
              <c:multiLvlStrCache>
                <c:ptCount val="1"/>
                <c:lvl>
                  <c:pt idx="0">
                    <c:v>Cooper</c:v>
                  </c:pt>
                </c:lvl>
                <c:lvl>
                  <c:pt idx="0">
                    <c:v>Essencial</c:v>
                  </c:pt>
                </c:lvl>
              </c:multiLvlStrCache>
            </c:multiLvlStrRef>
          </c:cat>
          <c:val>
            <c:numRef>
              <c:f>TABELAS!$M$6:$M$8</c:f>
              <c:numCache>
                <c:formatCode>"R$"\ #,##0.00</c:formatCode>
                <c:ptCount val="1"/>
                <c:pt idx="0">
                  <c:v>441.06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00B-485D-9B85-D1227C3B559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41"/>
        <c:axId val="1498062223"/>
        <c:axId val="1493771999"/>
      </c:barChart>
      <c:catAx>
        <c:axId val="14980622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effectLst/>
                <a:latin typeface="+mn-lt"/>
                <a:ea typeface="+mn-ea"/>
                <a:cs typeface="+mn-cs"/>
              </a:defRPr>
            </a:pPr>
            <a:endParaRPr lang="pt-BR"/>
          </a:p>
        </c:txPr>
        <c:crossAx val="1493771999"/>
        <c:crosses val="autoZero"/>
        <c:auto val="1"/>
        <c:lblAlgn val="ctr"/>
        <c:lblOffset val="100"/>
        <c:noMultiLvlLbl val="0"/>
      </c:catAx>
      <c:valAx>
        <c:axId val="1493771999"/>
        <c:scaling>
          <c:orientation val="minMax"/>
        </c:scaling>
        <c:delete val="1"/>
        <c:axPos val="l"/>
        <c:numFmt formatCode="&quot;R$&quot;\ #,##0.00" sourceLinked="1"/>
        <c:majorTickMark val="none"/>
        <c:minorTickMark val="none"/>
        <c:tickLblPos val="nextTo"/>
        <c:crossAx val="149806222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TABELAS!$W$4:$W$6</c:f>
              <c:strCache>
                <c:ptCount val="3"/>
                <c:pt idx="0">
                  <c:v>Essencial</c:v>
                </c:pt>
                <c:pt idx="1">
                  <c:v>Investimento</c:v>
                </c:pt>
                <c:pt idx="2">
                  <c:v>Não essencial</c:v>
                </c:pt>
              </c:strCache>
            </c:strRef>
          </c:cat>
          <c:val>
            <c:numRef>
              <c:f>TABELAS!$X$4:$X$6</c:f>
              <c:numCache>
                <c:formatCode>General</c:formatCode>
                <c:ptCount val="3"/>
              </c:numCache>
            </c:numRef>
          </c:val>
          <c:extLst>
            <c:ext xmlns:c16="http://schemas.microsoft.com/office/drawing/2014/chart" uri="{C3380CC4-5D6E-409C-BE32-E72D297353CC}">
              <c16:uniqueId val="{00000000-5670-48C9-B6D3-8616FD2F303E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0"/>
        <c:axId val="1867602896"/>
        <c:axId val="1867622992"/>
      </c:barChart>
      <c:barChart>
        <c:barDir val="col"/>
        <c:grouping val="clustered"/>
        <c:varyColors val="0"/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5B9BD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5670-48C9-B6D3-8616FD2F303E}"/>
              </c:ext>
            </c:extLst>
          </c:dPt>
          <c:dPt>
            <c:idx val="1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5670-48C9-B6D3-8616FD2F303E}"/>
              </c:ext>
            </c:extLst>
          </c:dPt>
          <c:dPt>
            <c:idx val="2"/>
            <c:invertIfNegative val="0"/>
            <c:bubble3D val="0"/>
            <c:spPr>
              <a:solidFill>
                <a:srgbClr val="ED7D31">
                  <a:lumMod val="75000"/>
                </a:srgb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5670-48C9-B6D3-8616FD2F303E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300" b="1" i="0" u="none" strike="noStrike" kern="1200" baseline="0">
                    <a:solidFill>
                      <a:srgbClr val="002060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TABELAS!$W$4:$W$6</c:f>
              <c:strCache>
                <c:ptCount val="3"/>
                <c:pt idx="0">
                  <c:v>Essencial</c:v>
                </c:pt>
                <c:pt idx="1">
                  <c:v>Investimento</c:v>
                </c:pt>
                <c:pt idx="2">
                  <c:v>Não essencial</c:v>
                </c:pt>
              </c:strCache>
            </c:strRef>
          </c:cat>
          <c:val>
            <c:numRef>
              <c:f>TABELAS!$Y$4:$Y$6</c:f>
              <c:numCache>
                <c:formatCode>0%</c:formatCode>
                <c:ptCount val="3"/>
                <c:pt idx="0">
                  <c:v>0.5</c:v>
                </c:pt>
                <c:pt idx="1">
                  <c:v>0.2</c:v>
                </c:pt>
                <c:pt idx="2">
                  <c:v>0.3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5670-48C9-B6D3-8616FD2F303E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"/>
        <c:axId val="1554243920"/>
        <c:axId val="1861510256"/>
      </c:barChart>
      <c:catAx>
        <c:axId val="18676028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867622992"/>
        <c:crosses val="autoZero"/>
        <c:auto val="1"/>
        <c:lblAlgn val="ctr"/>
        <c:lblOffset val="100"/>
        <c:noMultiLvlLbl val="0"/>
      </c:catAx>
      <c:valAx>
        <c:axId val="1867622992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867602896"/>
        <c:crosses val="autoZero"/>
        <c:crossBetween val="between"/>
      </c:valAx>
      <c:valAx>
        <c:axId val="1861510256"/>
        <c:scaling>
          <c:orientation val="minMax"/>
        </c:scaling>
        <c:delete val="1"/>
        <c:axPos val="r"/>
        <c:numFmt formatCode="0%" sourceLinked="1"/>
        <c:majorTickMark val="out"/>
        <c:minorTickMark val="none"/>
        <c:tickLblPos val="nextTo"/>
        <c:crossAx val="1554243920"/>
        <c:crosses val="max"/>
        <c:crossBetween val="between"/>
      </c:valAx>
      <c:catAx>
        <c:axId val="1554243920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86151025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[2024 Controle financeiro_V.2.xlsx]TABELAS!Tabela dinâmica8</c:name>
    <c:fmtId val="3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>
            <a:gsLst>
              <a:gs pos="45308">
                <a:srgbClr val="2C88CB"/>
              </a:gs>
              <a:gs pos="0">
                <a:schemeClr val="accent5">
                  <a:lumMod val="60000"/>
                  <a:lumOff val="40000"/>
                </a:schemeClr>
              </a:gs>
              <a:gs pos="100000">
                <a:srgbClr val="0070C0"/>
              </a:gs>
            </a:gsLst>
            <a:lin ang="5400000" scaled="1"/>
          </a:gradFill>
          <a:ln>
            <a:noFill/>
          </a:ln>
          <a:effectLst>
            <a:outerShdw blurRad="76200" dir="18900000" sy="23000" kx="-1200000" algn="bl" rotWithShape="0">
              <a:schemeClr val="bg2">
                <a:lumMod val="25000"/>
                <a:alpha val="20000"/>
              </a:schemeClr>
            </a:outerShdw>
          </a:effectLst>
        </c:spPr>
        <c:marker>
          <c:symbol val="none"/>
        </c:marker>
        <c:dLbl>
          <c:idx val="0"/>
          <c:numFmt formatCode="&quot;R$&quot;\ #,##0.00" sourceLinked="0"/>
          <c:spPr>
            <a:noFill/>
            <a:ln>
              <a:noFill/>
            </a:ln>
            <a:effectLst/>
          </c:spPr>
          <c:txPr>
            <a:bodyPr rot="-5400000" spcFirstLastPara="1" vertOverflow="ellipsis" wrap="square" lIns="38100" tIns="19050" rIns="38100" bIns="19050" anchor="ctr" anchorCtr="0">
              <a:spAutoFit/>
            </a:bodyPr>
            <a:lstStyle/>
            <a:p>
              <a:pPr algn="ctr">
                <a:defRPr lang="en-US" sz="1000" b="1" i="0" u="none" strike="noStrike" kern="1200" baseline="0">
                  <a:solidFill>
                    <a:srgbClr val="002060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TABELAS!$AB$4</c:f>
              <c:strCache>
                <c:ptCount val="1"/>
                <c:pt idx="0">
                  <c:v>Total</c:v>
                </c:pt>
              </c:strCache>
            </c:strRef>
          </c:tx>
          <c:spPr>
            <a:gradFill>
              <a:gsLst>
                <a:gs pos="45308">
                  <a:srgbClr val="2C88CB"/>
                </a:gs>
                <a:gs pos="0">
                  <a:schemeClr val="accent5">
                    <a:lumMod val="60000"/>
                    <a:lumOff val="40000"/>
                  </a:schemeClr>
                </a:gs>
                <a:gs pos="100000">
                  <a:srgbClr val="0070C0"/>
                </a:gs>
              </a:gsLst>
              <a:lin ang="5400000" scaled="1"/>
            </a:gradFill>
            <a:ln>
              <a:noFill/>
            </a:ln>
            <a:effectLst>
              <a:outerShdw blurRad="76200" dir="18900000" sy="23000" kx="-1200000" algn="bl" rotWithShape="0">
                <a:schemeClr val="bg2">
                  <a:lumMod val="25000"/>
                  <a:alpha val="20000"/>
                </a:schemeClr>
              </a:outerShdw>
            </a:effectLst>
          </c:spPr>
          <c:invertIfNegative val="0"/>
          <c:dLbls>
            <c:numFmt formatCode="&quot;R$&quot;\ #,##0.00" sourceLinked="0"/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0">
                <a:spAutoFit/>
              </a:bodyPr>
              <a:lstStyle/>
              <a:p>
                <a:pPr algn="ctr">
                  <a:defRPr lang="en-US" sz="1000" b="1" i="0" u="none" strike="noStrike" kern="1200" baseline="0">
                    <a:solidFill>
                      <a:srgbClr val="002060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TABELAS!$AA$5:$AA$7</c:f>
              <c:multiLvlStrCache>
                <c:ptCount val="1"/>
                <c:lvl>
                  <c:pt idx="0">
                    <c:v>Cooper</c:v>
                  </c:pt>
                </c:lvl>
                <c:lvl>
                  <c:pt idx="0">
                    <c:v>Essencial</c:v>
                  </c:pt>
                </c:lvl>
              </c:multiLvlStrCache>
            </c:multiLvlStrRef>
          </c:cat>
          <c:val>
            <c:numRef>
              <c:f>TABELAS!$AB$5:$AB$7</c:f>
              <c:numCache>
                <c:formatCode>General</c:formatCode>
                <c:ptCount val="1"/>
                <c:pt idx="0">
                  <c:v>441.06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C4D-4D0B-B60A-E867CD196F4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54"/>
        <c:overlap val="-27"/>
        <c:axId val="1559407520"/>
        <c:axId val="1853242784"/>
      </c:barChart>
      <c:catAx>
        <c:axId val="15594075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853242784"/>
        <c:crosses val="autoZero"/>
        <c:auto val="1"/>
        <c:lblAlgn val="ctr"/>
        <c:lblOffset val="100"/>
        <c:noMultiLvlLbl val="0"/>
      </c:catAx>
      <c:valAx>
        <c:axId val="1853242784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5594075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[2024 Controle financeiro_V.2.xlsx]TABELAS!Tabela dinâmica2</c:name>
    <c:fmtId val="9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>
            <a:gsLst>
              <a:gs pos="100000">
                <a:srgbClr val="0070C0"/>
              </a:gs>
              <a:gs pos="0">
                <a:srgbClr val="00B0F0"/>
              </a:gs>
            </a:gsLst>
            <a:lin ang="5400000" scaled="1"/>
          </a:gradFill>
          <a:ln>
            <a:noFill/>
          </a:ln>
          <a:effectLst>
            <a:outerShdw blurRad="88900" dir="13500000" sx="99000" sy="99000" kx="1200000" algn="b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TABELAS!$AE$4</c:f>
              <c:strCache>
                <c:ptCount val="1"/>
                <c:pt idx="0">
                  <c:v>Total</c:v>
                </c:pt>
              </c:strCache>
            </c:strRef>
          </c:tx>
          <c:spPr>
            <a:gradFill>
              <a:gsLst>
                <a:gs pos="100000">
                  <a:srgbClr val="0070C0"/>
                </a:gs>
                <a:gs pos="0">
                  <a:srgbClr val="00B0F0"/>
                </a:gs>
              </a:gsLst>
              <a:lin ang="5400000" scaled="1"/>
            </a:gradFill>
            <a:ln>
              <a:noFill/>
            </a:ln>
            <a:effectLst>
              <a:outerShdw blurRad="88900" dir="13500000" sx="99000" sy="99000" kx="1200000" algn="br" rotWithShape="0">
                <a:prstClr val="black">
                  <a:alpha val="20000"/>
                </a:prst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TABELAS!$AD$5</c:f>
              <c:strCache>
                <c:ptCount val="1"/>
                <c:pt idx="0">
                  <c:v>Total Geral</c:v>
                </c:pt>
              </c:strCache>
            </c:strRef>
          </c:cat>
          <c:val>
            <c:numRef>
              <c:f>TABELAS!$AE$5</c:f>
              <c:numCache>
                <c:formatCode>General</c:formatCode>
                <c:ptCount val="1"/>
              </c:numCache>
            </c:numRef>
          </c:val>
          <c:extLst>
            <c:ext xmlns:c16="http://schemas.microsoft.com/office/drawing/2014/chart" uri="{C3380CC4-5D6E-409C-BE32-E72D297353CC}">
              <c16:uniqueId val="{00000000-0A59-4B54-B7C7-CC308DDEE2C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0"/>
        <c:overlap val="80"/>
        <c:axId val="1117241760"/>
        <c:axId val="967887408"/>
      </c:barChart>
      <c:catAx>
        <c:axId val="1117241760"/>
        <c:scaling>
          <c:orientation val="minMax"/>
        </c:scaling>
        <c:delete val="0"/>
        <c:axPos val="b"/>
        <c:numFmt formatCode="General" sourceLinked="1"/>
        <c:majorTickMark val="none"/>
        <c:minorTickMark val="out"/>
        <c:tickLblPos val="nextTo"/>
        <c:spPr>
          <a:noFill/>
          <a:ln w="15875" cap="rnd" cmpd="sng" algn="ctr">
            <a:solidFill>
              <a:schemeClr val="tx1">
                <a:lumMod val="15000"/>
                <a:lumOff val="85000"/>
              </a:schemeClr>
            </a:solidFill>
            <a:miter lim="800000"/>
          </a:ln>
          <a:effectLst/>
        </c:spPr>
        <c:txPr>
          <a:bodyPr rot="0" spcFirstLastPara="1" vertOverflow="ellipsis" wrap="square" anchor="b" anchorCtr="0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967887408"/>
        <c:crosses val="autoZero"/>
        <c:auto val="1"/>
        <c:lblAlgn val="ctr"/>
        <c:lblOffset val="100"/>
        <c:noMultiLvlLbl val="0"/>
      </c:catAx>
      <c:valAx>
        <c:axId val="967887408"/>
        <c:scaling>
          <c:orientation val="minMax"/>
        </c:scaling>
        <c:delete val="1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crossAx val="11172417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4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>
      <a:effectLst/>
    </cs:defRPr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68000">
            <a:schemeClr val="lt1">
              <a:lumMod val="85000"/>
            </a:schemeClr>
          </a:gs>
          <a:gs pos="100000">
            <a:schemeClr val="lt1"/>
          </a:gs>
        </a:gsLst>
        <a:lin ang="5400000" scaled="1"/>
        <a:tileRect/>
      </a:gra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spPr/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gradFill>
          <a:gsLst>
            <a:gs pos="0">
              <a:schemeClr val="phClr"/>
            </a:gs>
            <a:gs pos="100000">
              <a:schemeClr val="phClr">
                <a:lumMod val="84000"/>
              </a:schemeClr>
            </a:gs>
          </a:gsLst>
          <a:lin ang="5400000" scaled="1"/>
        </a:gra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dk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kern="1200">
      <a:effectLst/>
    </cs:defRPr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dk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04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>
      <a:effectLst/>
    </cs:defRPr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68000">
            <a:schemeClr val="lt1">
              <a:lumMod val="85000"/>
            </a:schemeClr>
          </a:gs>
          <a:gs pos="100000">
            <a:schemeClr val="lt1"/>
          </a:gs>
        </a:gsLst>
        <a:lin ang="5400000" scaled="1"/>
        <a:tileRect/>
      </a:gra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spPr/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gradFill>
          <a:gsLst>
            <a:gs pos="0">
              <a:schemeClr val="phClr"/>
            </a:gs>
            <a:gs pos="100000">
              <a:schemeClr val="phClr">
                <a:lumMod val="84000"/>
              </a:schemeClr>
            </a:gs>
          </a:gsLst>
          <a:lin ang="5400000" scaled="1"/>
        </a:gra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dk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kern="1200">
      <a:effectLst/>
    </cs:defRPr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dk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108</xdr:row>
      <xdr:rowOff>123825</xdr:rowOff>
    </xdr:from>
    <xdr:to>
      <xdr:col>18</xdr:col>
      <xdr:colOff>0</xdr:colOff>
      <xdr:row>125</xdr:row>
      <xdr:rowOff>133350</xdr:rowOff>
    </xdr:to>
    <xdr:sp macro="" textlink="">
      <xdr:nvSpPr>
        <xdr:cNvPr id="39" name="Retângulo: Cantos Arredondados 38">
          <a:extLst>
            <a:ext uri="{FF2B5EF4-FFF2-40B4-BE49-F238E27FC236}">
              <a16:creationId xmlns:a16="http://schemas.microsoft.com/office/drawing/2014/main" id="{012B8810-8255-4BAC-A059-9DDDB36333A8}"/>
            </a:ext>
          </a:extLst>
        </xdr:cNvPr>
        <xdr:cNvSpPr/>
      </xdr:nvSpPr>
      <xdr:spPr>
        <a:xfrm>
          <a:off x="200025" y="20697825"/>
          <a:ext cx="11791950" cy="3248025"/>
        </a:xfrm>
        <a:prstGeom prst="roundRect">
          <a:avLst>
            <a:gd name="adj" fmla="val 6110"/>
          </a:avLst>
        </a:prstGeom>
        <a:solidFill>
          <a:schemeClr val="accent1">
            <a:lumMod val="20000"/>
            <a:lumOff val="8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lang="pt-BR" sz="3400"/>
        </a:p>
      </xdr:txBody>
    </xdr:sp>
    <xdr:clientData/>
  </xdr:twoCellAnchor>
  <xdr:twoCellAnchor>
    <xdr:from>
      <xdr:col>1</xdr:col>
      <xdr:colOff>142875</xdr:colOff>
      <xdr:row>4</xdr:row>
      <xdr:rowOff>47625</xdr:rowOff>
    </xdr:from>
    <xdr:to>
      <xdr:col>17</xdr:col>
      <xdr:colOff>485775</xdr:colOff>
      <xdr:row>10</xdr:row>
      <xdr:rowOff>133350</xdr:rowOff>
    </xdr:to>
    <xdr:sp macro="" textlink="">
      <xdr:nvSpPr>
        <xdr:cNvPr id="32" name="Retângulo 31">
          <a:extLst>
            <a:ext uri="{FF2B5EF4-FFF2-40B4-BE49-F238E27FC236}">
              <a16:creationId xmlns:a16="http://schemas.microsoft.com/office/drawing/2014/main" id="{358D5E36-F8EA-731B-2245-F392310F230D}"/>
            </a:ext>
          </a:extLst>
        </xdr:cNvPr>
        <xdr:cNvSpPr/>
      </xdr:nvSpPr>
      <xdr:spPr>
        <a:xfrm>
          <a:off x="342900" y="809625"/>
          <a:ext cx="11525250" cy="1228725"/>
        </a:xfrm>
        <a:prstGeom prst="rect">
          <a:avLst/>
        </a:prstGeom>
        <a:solidFill>
          <a:srgbClr val="0070C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571501</xdr:colOff>
      <xdr:row>18</xdr:row>
      <xdr:rowOff>9525</xdr:rowOff>
    </xdr:from>
    <xdr:to>
      <xdr:col>18</xdr:col>
      <xdr:colOff>0</xdr:colOff>
      <xdr:row>23</xdr:row>
      <xdr:rowOff>152400</xdr:rowOff>
    </xdr:to>
    <xdr:sp macro="" textlink="">
      <xdr:nvSpPr>
        <xdr:cNvPr id="30" name="Retângulo: Cantos Arredondados 29">
          <a:extLst>
            <a:ext uri="{FF2B5EF4-FFF2-40B4-BE49-F238E27FC236}">
              <a16:creationId xmlns:a16="http://schemas.microsoft.com/office/drawing/2014/main" id="{D6B0BCC7-A1CB-4B40-A54C-D0B24FC10483}"/>
            </a:ext>
          </a:extLst>
        </xdr:cNvPr>
        <xdr:cNvSpPr/>
      </xdr:nvSpPr>
      <xdr:spPr>
        <a:xfrm>
          <a:off x="4152901" y="3057525"/>
          <a:ext cx="7839074" cy="1095375"/>
        </a:xfrm>
        <a:prstGeom prst="roundRect">
          <a:avLst>
            <a:gd name="adj" fmla="val 8992"/>
          </a:avLst>
        </a:prstGeom>
        <a:solidFill>
          <a:schemeClr val="accent1">
            <a:lumMod val="20000"/>
            <a:lumOff val="8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lang="pt-BR" sz="3400"/>
        </a:p>
      </xdr:txBody>
    </xdr:sp>
    <xdr:clientData/>
  </xdr:twoCellAnchor>
  <xdr:twoCellAnchor>
    <xdr:from>
      <xdr:col>5</xdr:col>
      <xdr:colOff>571501</xdr:colOff>
      <xdr:row>24</xdr:row>
      <xdr:rowOff>9525</xdr:rowOff>
    </xdr:from>
    <xdr:to>
      <xdr:col>18</xdr:col>
      <xdr:colOff>0</xdr:colOff>
      <xdr:row>40</xdr:row>
      <xdr:rowOff>66675</xdr:rowOff>
    </xdr:to>
    <xdr:sp macro="" textlink="">
      <xdr:nvSpPr>
        <xdr:cNvPr id="25" name="Retângulo: Cantos Arredondados 24">
          <a:extLst>
            <a:ext uri="{FF2B5EF4-FFF2-40B4-BE49-F238E27FC236}">
              <a16:creationId xmlns:a16="http://schemas.microsoft.com/office/drawing/2014/main" id="{D9F0F036-62FC-419A-871A-33373BB822BD}"/>
            </a:ext>
          </a:extLst>
        </xdr:cNvPr>
        <xdr:cNvSpPr/>
      </xdr:nvSpPr>
      <xdr:spPr>
        <a:xfrm>
          <a:off x="4152901" y="4581525"/>
          <a:ext cx="7839074" cy="3105150"/>
        </a:xfrm>
        <a:prstGeom prst="roundRect">
          <a:avLst>
            <a:gd name="adj" fmla="val 3724"/>
          </a:avLst>
        </a:prstGeom>
        <a:solidFill>
          <a:schemeClr val="accent1">
            <a:lumMod val="20000"/>
            <a:lumOff val="8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lang="pt-BR" sz="3400"/>
        </a:p>
      </xdr:txBody>
    </xdr:sp>
    <xdr:clientData/>
  </xdr:twoCellAnchor>
  <xdr:twoCellAnchor>
    <xdr:from>
      <xdr:col>1</xdr:col>
      <xdr:colOff>0</xdr:colOff>
      <xdr:row>65</xdr:row>
      <xdr:rowOff>85725</xdr:rowOff>
    </xdr:from>
    <xdr:to>
      <xdr:col>18</xdr:col>
      <xdr:colOff>0</xdr:colOff>
      <xdr:row>69</xdr:row>
      <xdr:rowOff>47625</xdr:rowOff>
    </xdr:to>
    <xdr:sp macro="" textlink="">
      <xdr:nvSpPr>
        <xdr:cNvPr id="27" name="Retângulo: Cantos Arredondados 26">
          <a:extLst>
            <a:ext uri="{FF2B5EF4-FFF2-40B4-BE49-F238E27FC236}">
              <a16:creationId xmlns:a16="http://schemas.microsoft.com/office/drawing/2014/main" id="{58C2FDF2-8F71-429A-9AB9-C8602C6A9329}"/>
            </a:ext>
          </a:extLst>
        </xdr:cNvPr>
        <xdr:cNvSpPr/>
      </xdr:nvSpPr>
      <xdr:spPr>
        <a:xfrm>
          <a:off x="200025" y="12468225"/>
          <a:ext cx="11791950" cy="723900"/>
        </a:xfrm>
        <a:prstGeom prst="roundRect">
          <a:avLst/>
        </a:prstGeom>
        <a:solidFill>
          <a:srgbClr val="0070C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3400" baseline="0"/>
            <a:t>DESCRIÇÃO POR CATEGORIA</a:t>
          </a:r>
          <a:endParaRPr lang="pt-BR" sz="3400"/>
        </a:p>
      </xdr:txBody>
    </xdr:sp>
    <xdr:clientData/>
  </xdr:twoCellAnchor>
  <xdr:twoCellAnchor>
    <xdr:from>
      <xdr:col>1</xdr:col>
      <xdr:colOff>0</xdr:colOff>
      <xdr:row>69</xdr:row>
      <xdr:rowOff>95250</xdr:rowOff>
    </xdr:from>
    <xdr:to>
      <xdr:col>18</xdr:col>
      <xdr:colOff>0</xdr:colOff>
      <xdr:row>71</xdr:row>
      <xdr:rowOff>38100</xdr:rowOff>
    </xdr:to>
    <xdr:sp macro="" textlink="TABELAS!AB1">
      <xdr:nvSpPr>
        <xdr:cNvPr id="28" name="Retângulo: Cantos Arredondados 27">
          <a:extLst>
            <a:ext uri="{FF2B5EF4-FFF2-40B4-BE49-F238E27FC236}">
              <a16:creationId xmlns:a16="http://schemas.microsoft.com/office/drawing/2014/main" id="{5BABD461-15E9-42DD-8965-4409ABBC08BF}"/>
            </a:ext>
          </a:extLst>
        </xdr:cNvPr>
        <xdr:cNvSpPr/>
      </xdr:nvSpPr>
      <xdr:spPr>
        <a:xfrm>
          <a:off x="200025" y="13239750"/>
          <a:ext cx="11791950" cy="323850"/>
        </a:xfrm>
        <a:prstGeom prst="roundRect">
          <a:avLst>
            <a:gd name="adj" fmla="val 50000"/>
          </a:avLst>
        </a:prstGeom>
        <a:solidFill>
          <a:srgbClr val="00B05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6A0B868B-C2F9-4D58-87CD-3E12BD0EABD2}" type="TxLink">
            <a:rPr lang="en-US" sz="1300" b="1" i="0" u="none" strike="noStrike">
              <a:solidFill>
                <a:schemeClr val="bg1"/>
              </a:solidFill>
              <a:latin typeface="Calibri"/>
              <a:cs typeface="Calibri"/>
            </a:rPr>
            <a:pPr algn="ctr"/>
            <a:t> R$ 441,06 </a:t>
          </a:fld>
          <a:endParaRPr lang="pt-BR" sz="1300" b="1">
            <a:solidFill>
              <a:schemeClr val="bg1"/>
            </a:solidFill>
          </a:endParaRPr>
        </a:p>
      </xdr:txBody>
    </xdr:sp>
    <xdr:clientData/>
  </xdr:twoCellAnchor>
  <xdr:twoCellAnchor>
    <xdr:from>
      <xdr:col>5</xdr:col>
      <xdr:colOff>561975</xdr:colOff>
      <xdr:row>47</xdr:row>
      <xdr:rowOff>0</xdr:rowOff>
    </xdr:from>
    <xdr:to>
      <xdr:col>18</xdr:col>
      <xdr:colOff>19050</xdr:colOff>
      <xdr:row>63</xdr:row>
      <xdr:rowOff>171450</xdr:rowOff>
    </xdr:to>
    <xdr:sp macro="" textlink="">
      <xdr:nvSpPr>
        <xdr:cNvPr id="8" name="Retângulo: Cantos Arredondados 7">
          <a:extLst>
            <a:ext uri="{FF2B5EF4-FFF2-40B4-BE49-F238E27FC236}">
              <a16:creationId xmlns:a16="http://schemas.microsoft.com/office/drawing/2014/main" id="{65BEA664-99A0-40BB-84E3-98650D3E2EA3}"/>
            </a:ext>
          </a:extLst>
        </xdr:cNvPr>
        <xdr:cNvSpPr/>
      </xdr:nvSpPr>
      <xdr:spPr>
        <a:xfrm>
          <a:off x="4143375" y="8953500"/>
          <a:ext cx="7867650" cy="3219450"/>
        </a:xfrm>
        <a:prstGeom prst="roundRect">
          <a:avLst>
            <a:gd name="adj" fmla="val 4644"/>
          </a:avLst>
        </a:prstGeom>
        <a:solidFill>
          <a:schemeClr val="accent1">
            <a:lumMod val="20000"/>
            <a:lumOff val="8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lang="pt-BR" sz="3400"/>
        </a:p>
      </xdr:txBody>
    </xdr:sp>
    <xdr:clientData/>
  </xdr:twoCellAnchor>
  <xdr:twoCellAnchor>
    <xdr:from>
      <xdr:col>1</xdr:col>
      <xdr:colOff>38100</xdr:colOff>
      <xdr:row>47</xdr:row>
      <xdr:rowOff>0</xdr:rowOff>
    </xdr:from>
    <xdr:to>
      <xdr:col>5</xdr:col>
      <xdr:colOff>485775</xdr:colOff>
      <xdr:row>64</xdr:row>
      <xdr:rowOff>85725</xdr:rowOff>
    </xdr:to>
    <xdr:sp macro="" textlink="">
      <xdr:nvSpPr>
        <xdr:cNvPr id="15" name="Retângulo: Cantos Arredondados 14">
          <a:extLst>
            <a:ext uri="{FF2B5EF4-FFF2-40B4-BE49-F238E27FC236}">
              <a16:creationId xmlns:a16="http://schemas.microsoft.com/office/drawing/2014/main" id="{E5F43FE2-8D91-4C90-8BBF-4631646A2B02}"/>
            </a:ext>
          </a:extLst>
        </xdr:cNvPr>
        <xdr:cNvSpPr/>
      </xdr:nvSpPr>
      <xdr:spPr>
        <a:xfrm>
          <a:off x="238125" y="8953500"/>
          <a:ext cx="3829050" cy="3324225"/>
        </a:xfrm>
        <a:prstGeom prst="roundRect">
          <a:avLst>
            <a:gd name="adj" fmla="val 4106"/>
          </a:avLst>
        </a:prstGeom>
        <a:solidFill>
          <a:schemeClr val="accent1">
            <a:lumMod val="20000"/>
            <a:lumOff val="8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lang="pt-BR" sz="3400"/>
        </a:p>
      </xdr:txBody>
    </xdr:sp>
    <xdr:clientData/>
  </xdr:twoCellAnchor>
  <xdr:twoCellAnchor>
    <xdr:from>
      <xdr:col>1</xdr:col>
      <xdr:colOff>0</xdr:colOff>
      <xdr:row>71</xdr:row>
      <xdr:rowOff>180974</xdr:rowOff>
    </xdr:from>
    <xdr:to>
      <xdr:col>18</xdr:col>
      <xdr:colOff>0</xdr:colOff>
      <xdr:row>88</xdr:row>
      <xdr:rowOff>190499</xdr:rowOff>
    </xdr:to>
    <xdr:sp macro="" textlink="">
      <xdr:nvSpPr>
        <xdr:cNvPr id="6" name="Retângulo: Cantos Arredondados 5">
          <a:extLst>
            <a:ext uri="{FF2B5EF4-FFF2-40B4-BE49-F238E27FC236}">
              <a16:creationId xmlns:a16="http://schemas.microsoft.com/office/drawing/2014/main" id="{5ED8231F-50FD-472B-BFF5-948F188E6815}"/>
            </a:ext>
          </a:extLst>
        </xdr:cNvPr>
        <xdr:cNvSpPr/>
      </xdr:nvSpPr>
      <xdr:spPr>
        <a:xfrm>
          <a:off x="200025" y="13325474"/>
          <a:ext cx="11791950" cy="3248025"/>
        </a:xfrm>
        <a:prstGeom prst="roundRect">
          <a:avLst>
            <a:gd name="adj" fmla="val 4644"/>
          </a:avLst>
        </a:prstGeom>
        <a:solidFill>
          <a:schemeClr val="accent1">
            <a:lumMod val="20000"/>
            <a:lumOff val="8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lang="pt-BR" sz="3400"/>
        </a:p>
      </xdr:txBody>
    </xdr:sp>
    <xdr:clientData/>
  </xdr:twoCellAnchor>
  <xdr:twoCellAnchor>
    <xdr:from>
      <xdr:col>0</xdr:col>
      <xdr:colOff>171450</xdr:colOff>
      <xdr:row>17</xdr:row>
      <xdr:rowOff>190499</xdr:rowOff>
    </xdr:from>
    <xdr:to>
      <xdr:col>5</xdr:col>
      <xdr:colOff>419100</xdr:colOff>
      <xdr:row>40</xdr:row>
      <xdr:rowOff>57150</xdr:rowOff>
    </xdr:to>
    <xdr:sp macro="" textlink="">
      <xdr:nvSpPr>
        <xdr:cNvPr id="3" name="Retângulo: Cantos Arredondados 2">
          <a:extLst>
            <a:ext uri="{FF2B5EF4-FFF2-40B4-BE49-F238E27FC236}">
              <a16:creationId xmlns:a16="http://schemas.microsoft.com/office/drawing/2014/main" id="{57B1785C-B11D-4DE1-B99B-177216D5CDCA}"/>
            </a:ext>
          </a:extLst>
        </xdr:cNvPr>
        <xdr:cNvSpPr/>
      </xdr:nvSpPr>
      <xdr:spPr>
        <a:xfrm>
          <a:off x="171450" y="3047999"/>
          <a:ext cx="3829050" cy="4248151"/>
        </a:xfrm>
        <a:prstGeom prst="roundRect">
          <a:avLst>
            <a:gd name="adj" fmla="val 4644"/>
          </a:avLst>
        </a:prstGeom>
        <a:solidFill>
          <a:schemeClr val="accent1">
            <a:lumMod val="20000"/>
            <a:lumOff val="8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lang="pt-BR" sz="3400"/>
        </a:p>
      </xdr:txBody>
    </xdr:sp>
    <xdr:clientData/>
  </xdr:twoCellAnchor>
  <xdr:twoCellAnchor editAs="oneCell">
    <xdr:from>
      <xdr:col>1</xdr:col>
      <xdr:colOff>247650</xdr:colOff>
      <xdr:row>4</xdr:row>
      <xdr:rowOff>180975</xdr:rowOff>
    </xdr:from>
    <xdr:to>
      <xdr:col>17</xdr:col>
      <xdr:colOff>390525</xdr:colOff>
      <xdr:row>9</xdr:row>
      <xdr:rowOff>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7" name="Mês">
              <a:extLst>
                <a:ext uri="{FF2B5EF4-FFF2-40B4-BE49-F238E27FC236}">
                  <a16:creationId xmlns:a16="http://schemas.microsoft.com/office/drawing/2014/main" id="{E8987469-9F30-4195-8154-D36710EE411A}"/>
                </a:ext>
              </a:extLst>
            </xdr:cNvPr>
            <xdr:cNvGraphicFramePr>
              <a:graphicFrameLocks/>
            </xdr:cNvGraphicFramePr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ês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01365" y="561975"/>
              <a:ext cx="11857285" cy="7715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>
    <xdr:from>
      <xdr:col>1</xdr:col>
      <xdr:colOff>0</xdr:colOff>
      <xdr:row>18</xdr:row>
      <xdr:rowOff>114300</xdr:rowOff>
    </xdr:from>
    <xdr:to>
      <xdr:col>5</xdr:col>
      <xdr:colOff>304800</xdr:colOff>
      <xdr:row>32</xdr:row>
      <xdr:rowOff>47625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64DB31E4-30E7-48B9-A4A3-BCB4D6227CF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255560</xdr:colOff>
      <xdr:row>73</xdr:row>
      <xdr:rowOff>38100</xdr:rowOff>
    </xdr:from>
    <xdr:to>
      <xdr:col>17</xdr:col>
      <xdr:colOff>565364</xdr:colOff>
      <xdr:row>87</xdr:row>
      <xdr:rowOff>114300</xdr:rowOff>
    </xdr:to>
    <xdr:graphicFrame macro="">
      <xdr:nvGraphicFramePr>
        <xdr:cNvPr id="10" name="Gráfico 9">
          <a:extLst>
            <a:ext uri="{FF2B5EF4-FFF2-40B4-BE49-F238E27FC236}">
              <a16:creationId xmlns:a16="http://schemas.microsoft.com/office/drawing/2014/main" id="{D0AFF032-7566-49F4-AAE3-1BBE79EF63E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76200</xdr:colOff>
      <xdr:row>47</xdr:row>
      <xdr:rowOff>123824</xdr:rowOff>
    </xdr:from>
    <xdr:to>
      <xdr:col>17</xdr:col>
      <xdr:colOff>581025</xdr:colOff>
      <xdr:row>62</xdr:row>
      <xdr:rowOff>152399</xdr:rowOff>
    </xdr:to>
    <xdr:graphicFrame macro="">
      <xdr:nvGraphicFramePr>
        <xdr:cNvPr id="13" name="Gráfico 12">
          <a:extLst>
            <a:ext uri="{FF2B5EF4-FFF2-40B4-BE49-F238E27FC236}">
              <a16:creationId xmlns:a16="http://schemas.microsoft.com/office/drawing/2014/main" id="{4B2245FD-ACB3-4948-8653-4D841A9E8BD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</xdr:col>
      <xdr:colOff>127200</xdr:colOff>
      <xdr:row>47</xdr:row>
      <xdr:rowOff>161925</xdr:rowOff>
    </xdr:from>
    <xdr:to>
      <xdr:col>5</xdr:col>
      <xdr:colOff>400051</xdr:colOff>
      <xdr:row>63</xdr:row>
      <xdr:rowOff>171450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14" name="Tag de Despesa">
              <a:extLst>
                <a:ext uri="{FF2B5EF4-FFF2-40B4-BE49-F238E27FC236}">
                  <a16:creationId xmlns:a16="http://schemas.microsoft.com/office/drawing/2014/main" id="{B13A75B4-C349-4822-B0DE-EC625F6024B2}"/>
                </a:ext>
              </a:extLst>
            </xdr:cNvPr>
            <xdr:cNvGraphicFramePr>
              <a:graphicFrameLocks/>
            </xdr:cNvGraphicFramePr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Tag de Despesa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27225" y="9115425"/>
              <a:ext cx="3654226" cy="30575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>
    <xdr:from>
      <xdr:col>1</xdr:col>
      <xdr:colOff>0</xdr:colOff>
      <xdr:row>40</xdr:row>
      <xdr:rowOff>142875</xdr:rowOff>
    </xdr:from>
    <xdr:to>
      <xdr:col>18</xdr:col>
      <xdr:colOff>0</xdr:colOff>
      <xdr:row>44</xdr:row>
      <xdr:rowOff>104775</xdr:rowOff>
    </xdr:to>
    <xdr:sp macro="" textlink="">
      <xdr:nvSpPr>
        <xdr:cNvPr id="2" name="Retângulo: Cantos Arredondados 1">
          <a:extLst>
            <a:ext uri="{FF2B5EF4-FFF2-40B4-BE49-F238E27FC236}">
              <a16:creationId xmlns:a16="http://schemas.microsoft.com/office/drawing/2014/main" id="{2A5B8857-346A-2C79-F77A-61B9F775A9A9}"/>
            </a:ext>
          </a:extLst>
        </xdr:cNvPr>
        <xdr:cNvSpPr/>
      </xdr:nvSpPr>
      <xdr:spPr>
        <a:xfrm>
          <a:off x="200025" y="7381875"/>
          <a:ext cx="11791950" cy="723900"/>
        </a:xfrm>
        <a:prstGeom prst="roundRect">
          <a:avLst/>
        </a:prstGeom>
        <a:solidFill>
          <a:srgbClr val="0070C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3400" baseline="0"/>
            <a:t>DESCRIÇÃO TAG</a:t>
          </a:r>
          <a:endParaRPr lang="pt-BR" sz="3400"/>
        </a:p>
      </xdr:txBody>
    </xdr:sp>
    <xdr:clientData/>
  </xdr:twoCellAnchor>
  <xdr:twoCellAnchor>
    <xdr:from>
      <xdr:col>1</xdr:col>
      <xdr:colOff>0</xdr:colOff>
      <xdr:row>14</xdr:row>
      <xdr:rowOff>9525</xdr:rowOff>
    </xdr:from>
    <xdr:to>
      <xdr:col>5</xdr:col>
      <xdr:colOff>371474</xdr:colOff>
      <xdr:row>15</xdr:row>
      <xdr:rowOff>133350</xdr:rowOff>
    </xdr:to>
    <xdr:sp macro="" textlink="">
      <xdr:nvSpPr>
        <xdr:cNvPr id="5" name="Retângulo: Cantos Arredondados 4">
          <a:extLst>
            <a:ext uri="{FF2B5EF4-FFF2-40B4-BE49-F238E27FC236}">
              <a16:creationId xmlns:a16="http://schemas.microsoft.com/office/drawing/2014/main" id="{A72BBCCE-5558-4A1C-A0AB-ABE11FD83008}"/>
            </a:ext>
          </a:extLst>
        </xdr:cNvPr>
        <xdr:cNvSpPr/>
      </xdr:nvSpPr>
      <xdr:spPr>
        <a:xfrm>
          <a:off x="609600" y="2295525"/>
          <a:ext cx="3752849" cy="314325"/>
        </a:xfrm>
        <a:prstGeom prst="roundRect">
          <a:avLst/>
        </a:prstGeom>
        <a:solidFill>
          <a:srgbClr val="0070C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pt-BR" sz="1300" b="1">
              <a:solidFill>
                <a:schemeClr val="lt1"/>
              </a:solidFill>
              <a:latin typeface="+mn-lt"/>
              <a:ea typeface="+mn-ea"/>
              <a:cs typeface="+mn-cs"/>
            </a:rPr>
            <a:t>CAIXA ATUAL</a:t>
          </a:r>
        </a:p>
      </xdr:txBody>
    </xdr:sp>
    <xdr:clientData/>
  </xdr:twoCellAnchor>
  <xdr:twoCellAnchor>
    <xdr:from>
      <xdr:col>6</xdr:col>
      <xdr:colOff>0</xdr:colOff>
      <xdr:row>14</xdr:row>
      <xdr:rowOff>0</xdr:rowOff>
    </xdr:from>
    <xdr:to>
      <xdr:col>11</xdr:col>
      <xdr:colOff>219074</xdr:colOff>
      <xdr:row>15</xdr:row>
      <xdr:rowOff>123825</xdr:rowOff>
    </xdr:to>
    <xdr:sp macro="" textlink="">
      <xdr:nvSpPr>
        <xdr:cNvPr id="11" name="Retângulo: Cantos Arredondados 10">
          <a:extLst>
            <a:ext uri="{FF2B5EF4-FFF2-40B4-BE49-F238E27FC236}">
              <a16:creationId xmlns:a16="http://schemas.microsoft.com/office/drawing/2014/main" id="{68460573-2520-A4A7-E8E1-83DE1298B8CD}"/>
            </a:ext>
          </a:extLst>
        </xdr:cNvPr>
        <xdr:cNvSpPr/>
      </xdr:nvSpPr>
      <xdr:spPr>
        <a:xfrm>
          <a:off x="4191000" y="2286000"/>
          <a:ext cx="3752849" cy="314325"/>
        </a:xfrm>
        <a:prstGeom prst="roundRect">
          <a:avLst/>
        </a:prstGeom>
        <a:solidFill>
          <a:srgbClr val="FF000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pt-BR" sz="1300" b="1">
              <a:solidFill>
                <a:schemeClr val="lt1"/>
              </a:solidFill>
              <a:latin typeface="+mn-lt"/>
              <a:ea typeface="+mn-ea"/>
              <a:cs typeface="+mn-cs"/>
            </a:rPr>
            <a:t>DESPESAS</a:t>
          </a:r>
        </a:p>
      </xdr:txBody>
    </xdr:sp>
    <xdr:clientData/>
  </xdr:twoCellAnchor>
  <xdr:twoCellAnchor>
    <xdr:from>
      <xdr:col>11</xdr:col>
      <xdr:colOff>476251</xdr:colOff>
      <xdr:row>14</xdr:row>
      <xdr:rowOff>0</xdr:rowOff>
    </xdr:from>
    <xdr:to>
      <xdr:col>17</xdr:col>
      <xdr:colOff>571500</xdr:colOff>
      <xdr:row>15</xdr:row>
      <xdr:rowOff>123825</xdr:rowOff>
    </xdr:to>
    <xdr:sp macro="" textlink="">
      <xdr:nvSpPr>
        <xdr:cNvPr id="12" name="Retângulo: Cantos Arredondados 11">
          <a:extLst>
            <a:ext uri="{FF2B5EF4-FFF2-40B4-BE49-F238E27FC236}">
              <a16:creationId xmlns:a16="http://schemas.microsoft.com/office/drawing/2014/main" id="{4D5718CC-B856-5775-01F7-A4383DCD61C8}"/>
            </a:ext>
          </a:extLst>
        </xdr:cNvPr>
        <xdr:cNvSpPr/>
      </xdr:nvSpPr>
      <xdr:spPr>
        <a:xfrm>
          <a:off x="8610601" y="2286000"/>
          <a:ext cx="3752849" cy="314325"/>
        </a:xfrm>
        <a:prstGeom prst="roundRect">
          <a:avLst/>
        </a:prstGeom>
        <a:solidFill>
          <a:srgbClr val="00B05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pt-BR" sz="1300" b="1">
              <a:solidFill>
                <a:schemeClr val="lt1"/>
              </a:solidFill>
              <a:latin typeface="+mn-lt"/>
              <a:ea typeface="+mn-ea"/>
              <a:cs typeface="+mn-cs"/>
            </a:rPr>
            <a:t>RECEITA</a:t>
          </a:r>
        </a:p>
      </xdr:txBody>
    </xdr:sp>
    <xdr:clientData/>
  </xdr:twoCellAnchor>
  <xdr:twoCellAnchor>
    <xdr:from>
      <xdr:col>6</xdr:col>
      <xdr:colOff>0</xdr:colOff>
      <xdr:row>16</xdr:row>
      <xdr:rowOff>0</xdr:rowOff>
    </xdr:from>
    <xdr:to>
      <xdr:col>11</xdr:col>
      <xdr:colOff>219074</xdr:colOff>
      <xdr:row>17</xdr:row>
      <xdr:rowOff>123825</xdr:rowOff>
    </xdr:to>
    <xdr:sp macro="" textlink="TABELAS!P5">
      <xdr:nvSpPr>
        <xdr:cNvPr id="16" name="Retângulo: Cantos Arredondados 15">
          <a:extLst>
            <a:ext uri="{FF2B5EF4-FFF2-40B4-BE49-F238E27FC236}">
              <a16:creationId xmlns:a16="http://schemas.microsoft.com/office/drawing/2014/main" id="{2EC3AA89-3716-0BF1-134F-6A81B44E4F73}"/>
            </a:ext>
          </a:extLst>
        </xdr:cNvPr>
        <xdr:cNvSpPr/>
      </xdr:nvSpPr>
      <xdr:spPr>
        <a:xfrm>
          <a:off x="4191000" y="2667000"/>
          <a:ext cx="3752849" cy="314325"/>
        </a:xfrm>
        <a:prstGeom prst="roundRect">
          <a:avLst/>
        </a:prstGeom>
        <a:solidFill>
          <a:srgbClr val="FF000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fld id="{FC22FA8B-B9E3-471C-B325-4C5A3F8B8A53}" type="TxLink">
            <a:rPr lang="en-US" sz="1300" b="1" i="0" u="none" strike="noStrike">
              <a:solidFill>
                <a:schemeClr val="bg1"/>
              </a:solidFill>
              <a:latin typeface="Calibri"/>
              <a:ea typeface="+mn-ea"/>
              <a:cs typeface="Calibri"/>
            </a:rPr>
            <a:pPr marL="0" indent="0" algn="ctr"/>
            <a:t> R$ 441,06 </a:t>
          </a:fld>
          <a:endParaRPr lang="en-US" sz="1300" b="1">
            <a:solidFill>
              <a:schemeClr val="bg1"/>
            </a:solidFill>
            <a:ea typeface="+mn-ea"/>
          </a:endParaRPr>
        </a:p>
      </xdr:txBody>
    </xdr:sp>
    <xdr:clientData/>
  </xdr:twoCellAnchor>
  <xdr:twoCellAnchor>
    <xdr:from>
      <xdr:col>11</xdr:col>
      <xdr:colOff>476251</xdr:colOff>
      <xdr:row>16</xdr:row>
      <xdr:rowOff>9525</xdr:rowOff>
    </xdr:from>
    <xdr:to>
      <xdr:col>17</xdr:col>
      <xdr:colOff>571500</xdr:colOff>
      <xdr:row>17</xdr:row>
      <xdr:rowOff>133350</xdr:rowOff>
    </xdr:to>
    <xdr:sp macro="" textlink="TABELAS!P6">
      <xdr:nvSpPr>
        <xdr:cNvPr id="17" name="Retângulo: Cantos Arredondados 16">
          <a:extLst>
            <a:ext uri="{FF2B5EF4-FFF2-40B4-BE49-F238E27FC236}">
              <a16:creationId xmlns:a16="http://schemas.microsoft.com/office/drawing/2014/main" id="{241D6174-6B68-ED48-310F-C706A1968725}"/>
            </a:ext>
          </a:extLst>
        </xdr:cNvPr>
        <xdr:cNvSpPr/>
      </xdr:nvSpPr>
      <xdr:spPr>
        <a:xfrm>
          <a:off x="8610601" y="2676525"/>
          <a:ext cx="3752849" cy="314325"/>
        </a:xfrm>
        <a:prstGeom prst="roundRect">
          <a:avLst/>
        </a:prstGeom>
        <a:solidFill>
          <a:srgbClr val="00B05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fld id="{431CB7FF-E61D-46C2-B402-4E33E9F847A5}" type="TxLink">
            <a:rPr lang="en-US" sz="1300" b="1" i="0" u="none" strike="noStrike">
              <a:solidFill>
                <a:schemeClr val="bg1"/>
              </a:solidFill>
              <a:latin typeface="Calibri"/>
              <a:ea typeface="+mn-ea"/>
              <a:cs typeface="Calibri"/>
            </a:rPr>
            <a:pPr marL="0" indent="0" algn="ctr"/>
            <a:t>#REF!</a:t>
          </a:fld>
          <a:endParaRPr lang="pt-BR" sz="1300" b="1">
            <a:solidFill>
              <a:schemeClr val="bg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</xdr:col>
      <xdr:colOff>0</xdr:colOff>
      <xdr:row>16</xdr:row>
      <xdr:rowOff>0</xdr:rowOff>
    </xdr:from>
    <xdr:to>
      <xdr:col>5</xdr:col>
      <xdr:colOff>371474</xdr:colOff>
      <xdr:row>17</xdr:row>
      <xdr:rowOff>123825</xdr:rowOff>
    </xdr:to>
    <xdr:sp macro="" textlink="TABELAS!U4">
      <xdr:nvSpPr>
        <xdr:cNvPr id="18" name="Retângulo: Cantos Arredondados 17">
          <a:extLst>
            <a:ext uri="{FF2B5EF4-FFF2-40B4-BE49-F238E27FC236}">
              <a16:creationId xmlns:a16="http://schemas.microsoft.com/office/drawing/2014/main" id="{5EF3C7D8-C212-0933-0981-02C4F8B8195A}"/>
            </a:ext>
          </a:extLst>
        </xdr:cNvPr>
        <xdr:cNvSpPr/>
      </xdr:nvSpPr>
      <xdr:spPr>
        <a:xfrm>
          <a:off x="607219" y="2667000"/>
          <a:ext cx="3752849" cy="314325"/>
        </a:xfrm>
        <a:prstGeom prst="roundRect">
          <a:avLst/>
        </a:prstGeom>
        <a:solidFill>
          <a:srgbClr val="0070C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fld id="{714ADD5E-BB84-45BB-BDF3-7C391DA21DD3}" type="TxLink">
            <a:rPr lang="en-US" sz="1300" b="1" i="0" u="none" strike="noStrike">
              <a:solidFill>
                <a:schemeClr val="bg1"/>
              </a:solidFill>
              <a:latin typeface="Calibri"/>
              <a:ea typeface="+mn-ea"/>
              <a:cs typeface="Calibri"/>
            </a:rPr>
            <a:pPr marL="0" indent="0" algn="ctr"/>
            <a:t>4422,844</a:t>
          </a:fld>
          <a:endParaRPr lang="en-US" sz="1300" b="1">
            <a:solidFill>
              <a:schemeClr val="bg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</xdr:col>
      <xdr:colOff>0</xdr:colOff>
      <xdr:row>44</xdr:row>
      <xdr:rowOff>152400</xdr:rowOff>
    </xdr:from>
    <xdr:to>
      <xdr:col>18</xdr:col>
      <xdr:colOff>0</xdr:colOff>
      <xdr:row>46</xdr:row>
      <xdr:rowOff>95250</xdr:rowOff>
    </xdr:to>
    <xdr:sp macro="" textlink="TABELAS!M2">
      <xdr:nvSpPr>
        <xdr:cNvPr id="19" name="Retângulo: Cantos Arredondados 18">
          <a:extLst>
            <a:ext uri="{FF2B5EF4-FFF2-40B4-BE49-F238E27FC236}">
              <a16:creationId xmlns:a16="http://schemas.microsoft.com/office/drawing/2014/main" id="{1FDE616B-E31D-7C61-F12B-B52241813129}"/>
            </a:ext>
          </a:extLst>
        </xdr:cNvPr>
        <xdr:cNvSpPr/>
      </xdr:nvSpPr>
      <xdr:spPr>
        <a:xfrm>
          <a:off x="200025" y="8534400"/>
          <a:ext cx="11791950" cy="323850"/>
        </a:xfrm>
        <a:prstGeom prst="roundRect">
          <a:avLst>
            <a:gd name="adj" fmla="val 50000"/>
          </a:avLst>
        </a:prstGeom>
        <a:solidFill>
          <a:srgbClr val="00B05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D1E86BD9-5657-41B2-99E5-D6B265D458A6}" type="TxLink">
            <a:rPr lang="en-US" sz="1300" b="1" i="0" u="none" strike="noStrike">
              <a:solidFill>
                <a:schemeClr val="bg1"/>
              </a:solidFill>
              <a:latin typeface="Calibri"/>
              <a:cs typeface="Calibri"/>
            </a:rPr>
            <a:pPr algn="ctr"/>
            <a:t> R$ 441,06 </a:t>
          </a:fld>
          <a:endParaRPr lang="pt-BR" sz="1300" b="1">
            <a:solidFill>
              <a:schemeClr val="bg1"/>
            </a:solidFill>
          </a:endParaRPr>
        </a:p>
      </xdr:txBody>
    </xdr:sp>
    <xdr:clientData/>
  </xdr:twoCellAnchor>
  <xdr:twoCellAnchor>
    <xdr:from>
      <xdr:col>1</xdr:col>
      <xdr:colOff>285750</xdr:colOff>
      <xdr:row>33</xdr:row>
      <xdr:rowOff>66675</xdr:rowOff>
    </xdr:from>
    <xdr:to>
      <xdr:col>5</xdr:col>
      <xdr:colOff>200025</xdr:colOff>
      <xdr:row>38</xdr:row>
      <xdr:rowOff>95250</xdr:rowOff>
    </xdr:to>
    <xdr:graphicFrame macro="">
      <xdr:nvGraphicFramePr>
        <xdr:cNvPr id="21" name="Gráfico 20">
          <a:extLst>
            <a:ext uri="{FF2B5EF4-FFF2-40B4-BE49-F238E27FC236}">
              <a16:creationId xmlns:a16="http://schemas.microsoft.com/office/drawing/2014/main" id="{BD765E1E-5F21-4B30-AC5F-5A8F6798EF6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71440</xdr:colOff>
      <xdr:row>33</xdr:row>
      <xdr:rowOff>166691</xdr:rowOff>
    </xdr:from>
    <xdr:to>
      <xdr:col>1</xdr:col>
      <xdr:colOff>338140</xdr:colOff>
      <xdr:row>37</xdr:row>
      <xdr:rowOff>23816</xdr:rowOff>
    </xdr:to>
    <xdr:sp macro="" textlink="">
      <xdr:nvSpPr>
        <xdr:cNvPr id="22" name="CaixaDeTexto 21">
          <a:extLst>
            <a:ext uri="{FF2B5EF4-FFF2-40B4-BE49-F238E27FC236}">
              <a16:creationId xmlns:a16="http://schemas.microsoft.com/office/drawing/2014/main" id="{F7F7B803-1BE2-42F5-CA85-8356C35FFC03}"/>
            </a:ext>
          </a:extLst>
        </xdr:cNvPr>
        <xdr:cNvSpPr txBox="1"/>
      </xdr:nvSpPr>
      <xdr:spPr>
        <a:xfrm rot="16200000">
          <a:off x="95252" y="6248404"/>
          <a:ext cx="619125" cy="2667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100"/>
            <a:t>METAS</a:t>
          </a:r>
        </a:p>
      </xdr:txBody>
    </xdr:sp>
    <xdr:clientData/>
  </xdr:twoCellAnchor>
  <xdr:twoCellAnchor>
    <xdr:from>
      <xdr:col>6</xdr:col>
      <xdr:colOff>18289</xdr:colOff>
      <xdr:row>25</xdr:row>
      <xdr:rowOff>56227</xdr:rowOff>
    </xdr:from>
    <xdr:to>
      <xdr:col>17</xdr:col>
      <xdr:colOff>457199</xdr:colOff>
      <xdr:row>38</xdr:row>
      <xdr:rowOff>123824</xdr:rowOff>
    </xdr:to>
    <xdr:graphicFrame macro="">
      <xdr:nvGraphicFramePr>
        <xdr:cNvPr id="23" name="Gráfico 22">
          <a:extLst>
            <a:ext uri="{FF2B5EF4-FFF2-40B4-BE49-F238E27FC236}">
              <a16:creationId xmlns:a16="http://schemas.microsoft.com/office/drawing/2014/main" id="{7A0723DC-76A3-488A-8863-391D0F48813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6</xdr:col>
      <xdr:colOff>66675</xdr:colOff>
      <xdr:row>18</xdr:row>
      <xdr:rowOff>47625</xdr:rowOff>
    </xdr:from>
    <xdr:to>
      <xdr:col>17</xdr:col>
      <xdr:colOff>523876</xdr:colOff>
      <xdr:row>21</xdr:row>
      <xdr:rowOff>123824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4" name="Categoria de despesa">
              <a:extLst>
                <a:ext uri="{FF2B5EF4-FFF2-40B4-BE49-F238E27FC236}">
                  <a16:creationId xmlns:a16="http://schemas.microsoft.com/office/drawing/2014/main" id="{6DDEE65D-3A4D-41EB-2663-5460010888E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ategoria de despesa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257675" y="3476625"/>
              <a:ext cx="7648576" cy="647699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>
    <xdr:from>
      <xdr:col>6</xdr:col>
      <xdr:colOff>85725</xdr:colOff>
      <xdr:row>21</xdr:row>
      <xdr:rowOff>152400</xdr:rowOff>
    </xdr:from>
    <xdr:to>
      <xdr:col>17</xdr:col>
      <xdr:colOff>504825</xdr:colOff>
      <xdr:row>23</xdr:row>
      <xdr:rowOff>95250</xdr:rowOff>
    </xdr:to>
    <xdr:sp macro="" textlink="TABELAS!AB1">
      <xdr:nvSpPr>
        <xdr:cNvPr id="29" name="Retângulo: Cantos Arredondados 28">
          <a:extLst>
            <a:ext uri="{FF2B5EF4-FFF2-40B4-BE49-F238E27FC236}">
              <a16:creationId xmlns:a16="http://schemas.microsoft.com/office/drawing/2014/main" id="{532B9C10-4076-46AC-9F60-170DCB889DA3}"/>
            </a:ext>
          </a:extLst>
        </xdr:cNvPr>
        <xdr:cNvSpPr/>
      </xdr:nvSpPr>
      <xdr:spPr>
        <a:xfrm>
          <a:off x="4276725" y="4152900"/>
          <a:ext cx="7610475" cy="323850"/>
        </a:xfrm>
        <a:prstGeom prst="roundRect">
          <a:avLst>
            <a:gd name="adj" fmla="val 50000"/>
          </a:avLst>
        </a:prstGeom>
        <a:solidFill>
          <a:srgbClr val="00B05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423E5A5B-C8C1-49CF-846E-1519A321F728}" type="TxLink">
            <a:rPr lang="en-US" sz="1300" b="0" i="0" u="none" strike="noStrike">
              <a:solidFill>
                <a:schemeClr val="bg1"/>
              </a:solidFill>
              <a:latin typeface="Calibri"/>
              <a:cs typeface="Calibri"/>
            </a:rPr>
            <a:pPr algn="ctr"/>
            <a:t> R$ 441,06 </a:t>
          </a:fld>
          <a:endParaRPr lang="pt-BR" sz="1300" b="1">
            <a:solidFill>
              <a:schemeClr val="bg1"/>
            </a:solidFill>
          </a:endParaRPr>
        </a:p>
      </xdr:txBody>
    </xdr:sp>
    <xdr:clientData/>
  </xdr:twoCellAnchor>
  <xdr:twoCellAnchor>
    <xdr:from>
      <xdr:col>1</xdr:col>
      <xdr:colOff>0</xdr:colOff>
      <xdr:row>0</xdr:row>
      <xdr:rowOff>19050</xdr:rowOff>
    </xdr:from>
    <xdr:to>
      <xdr:col>18</xdr:col>
      <xdr:colOff>0</xdr:colOff>
      <xdr:row>4</xdr:row>
      <xdr:rowOff>76200</xdr:rowOff>
    </xdr:to>
    <xdr:sp macro="" textlink="">
      <xdr:nvSpPr>
        <xdr:cNvPr id="31" name="Retângulo: Cantos Arredondados 30">
          <a:extLst>
            <a:ext uri="{FF2B5EF4-FFF2-40B4-BE49-F238E27FC236}">
              <a16:creationId xmlns:a16="http://schemas.microsoft.com/office/drawing/2014/main" id="{BFAA5053-FB49-43A4-BC9E-D53F10EC94A8}"/>
            </a:ext>
          </a:extLst>
        </xdr:cNvPr>
        <xdr:cNvSpPr/>
      </xdr:nvSpPr>
      <xdr:spPr>
        <a:xfrm>
          <a:off x="200025" y="19050"/>
          <a:ext cx="11791950" cy="819150"/>
        </a:xfrm>
        <a:prstGeom prst="roundRect">
          <a:avLst/>
        </a:prstGeom>
        <a:solidFill>
          <a:srgbClr val="0070C0"/>
        </a:solidFill>
        <a:ln>
          <a:noFill/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3400"/>
            <a:t>CONTROLE FINANCEIRO</a:t>
          </a:r>
        </a:p>
      </xdr:txBody>
    </xdr:sp>
    <xdr:clientData/>
  </xdr:twoCellAnchor>
  <xdr:twoCellAnchor>
    <xdr:from>
      <xdr:col>1</xdr:col>
      <xdr:colOff>0</xdr:colOff>
      <xdr:row>10</xdr:row>
      <xdr:rowOff>0</xdr:rowOff>
    </xdr:from>
    <xdr:to>
      <xdr:col>18</xdr:col>
      <xdr:colOff>0</xdr:colOff>
      <xdr:row>13</xdr:row>
      <xdr:rowOff>152400</xdr:rowOff>
    </xdr:to>
    <xdr:sp macro="" textlink="">
      <xdr:nvSpPr>
        <xdr:cNvPr id="4" name="Retângulo: Cantos Arredondados 3">
          <a:extLst>
            <a:ext uri="{FF2B5EF4-FFF2-40B4-BE49-F238E27FC236}">
              <a16:creationId xmlns:a16="http://schemas.microsoft.com/office/drawing/2014/main" id="{18B1FA85-20C4-4243-BD9A-EE40F747C421}"/>
            </a:ext>
          </a:extLst>
        </xdr:cNvPr>
        <xdr:cNvSpPr/>
      </xdr:nvSpPr>
      <xdr:spPr>
        <a:xfrm>
          <a:off x="609600" y="1524000"/>
          <a:ext cx="11791950" cy="723900"/>
        </a:xfrm>
        <a:prstGeom prst="roundRect">
          <a:avLst/>
        </a:prstGeom>
        <a:solidFill>
          <a:srgbClr val="0070C0"/>
        </a:solidFill>
        <a:ln>
          <a:noFill/>
        </a:ln>
        <a:effectLst>
          <a:outerShdw blurRad="50800" dist="38100" dir="16200000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3400"/>
            <a:t>EXTRATO</a:t>
          </a:r>
        </a:p>
      </xdr:txBody>
    </xdr:sp>
    <xdr:clientData/>
  </xdr:twoCellAnchor>
  <xdr:twoCellAnchor>
    <xdr:from>
      <xdr:col>0</xdr:col>
      <xdr:colOff>180975</xdr:colOff>
      <xdr:row>90</xdr:row>
      <xdr:rowOff>47625</xdr:rowOff>
    </xdr:from>
    <xdr:to>
      <xdr:col>17</xdr:col>
      <xdr:colOff>590550</xdr:colOff>
      <xdr:row>94</xdr:row>
      <xdr:rowOff>9525</xdr:rowOff>
    </xdr:to>
    <xdr:sp macro="" textlink="">
      <xdr:nvSpPr>
        <xdr:cNvPr id="20" name="Retângulo: Cantos Arredondados 19">
          <a:extLst>
            <a:ext uri="{FF2B5EF4-FFF2-40B4-BE49-F238E27FC236}">
              <a16:creationId xmlns:a16="http://schemas.microsoft.com/office/drawing/2014/main" id="{86250E0E-E864-4F54-BD2C-19C3BFD53A32}"/>
            </a:ext>
          </a:extLst>
        </xdr:cNvPr>
        <xdr:cNvSpPr/>
      </xdr:nvSpPr>
      <xdr:spPr>
        <a:xfrm>
          <a:off x="180975" y="17192625"/>
          <a:ext cx="11791950" cy="723900"/>
        </a:xfrm>
        <a:prstGeom prst="roundRect">
          <a:avLst/>
        </a:prstGeom>
        <a:solidFill>
          <a:srgbClr val="0070C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3400" baseline="0"/>
            <a:t>EXTRATO POR DIA</a:t>
          </a:r>
          <a:endParaRPr lang="pt-BR" sz="3400"/>
        </a:p>
      </xdr:txBody>
    </xdr:sp>
    <xdr:clientData/>
  </xdr:twoCellAnchor>
  <xdr:twoCellAnchor>
    <xdr:from>
      <xdr:col>0</xdr:col>
      <xdr:colOff>180975</xdr:colOff>
      <xdr:row>94</xdr:row>
      <xdr:rowOff>57150</xdr:rowOff>
    </xdr:from>
    <xdr:to>
      <xdr:col>17</xdr:col>
      <xdr:colOff>590550</xdr:colOff>
      <xdr:row>96</xdr:row>
      <xdr:rowOff>0</xdr:rowOff>
    </xdr:to>
    <xdr:sp macro="" textlink="TABELAS!AE1">
      <xdr:nvSpPr>
        <xdr:cNvPr id="26" name="Retângulo: Cantos Arredondados 25">
          <a:extLst>
            <a:ext uri="{FF2B5EF4-FFF2-40B4-BE49-F238E27FC236}">
              <a16:creationId xmlns:a16="http://schemas.microsoft.com/office/drawing/2014/main" id="{DD368B90-721D-426A-85E6-512B39E34A19}"/>
            </a:ext>
          </a:extLst>
        </xdr:cNvPr>
        <xdr:cNvSpPr/>
      </xdr:nvSpPr>
      <xdr:spPr>
        <a:xfrm>
          <a:off x="180975" y="17964150"/>
          <a:ext cx="11779173" cy="323850"/>
        </a:xfrm>
        <a:prstGeom prst="roundRect">
          <a:avLst>
            <a:gd name="adj" fmla="val 50000"/>
          </a:avLst>
        </a:prstGeom>
        <a:solidFill>
          <a:srgbClr val="FF000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68A8F690-1D4E-4910-BB7C-E9BBF69D7AD0}" type="TxLink">
            <a:rPr lang="en-US" sz="1100" b="0" i="0" u="none" strike="noStrike">
              <a:solidFill>
                <a:schemeClr val="bg1"/>
              </a:solidFill>
              <a:latin typeface="Calibri"/>
              <a:cs typeface="Calibri"/>
            </a:rPr>
            <a:pPr algn="ctr"/>
            <a:t> R$ -   </a:t>
          </a:fld>
          <a:endParaRPr lang="pt-BR" sz="1300" b="1">
            <a:solidFill>
              <a:schemeClr val="bg1"/>
            </a:solidFill>
          </a:endParaRPr>
        </a:p>
      </xdr:txBody>
    </xdr:sp>
    <xdr:clientData/>
  </xdr:twoCellAnchor>
  <xdr:twoCellAnchor>
    <xdr:from>
      <xdr:col>1</xdr:col>
      <xdr:colOff>47625</xdr:colOff>
      <xdr:row>103</xdr:row>
      <xdr:rowOff>123825</xdr:rowOff>
    </xdr:from>
    <xdr:to>
      <xdr:col>18</xdr:col>
      <xdr:colOff>47625</xdr:colOff>
      <xdr:row>107</xdr:row>
      <xdr:rowOff>180975</xdr:rowOff>
    </xdr:to>
    <xdr:sp macro="" textlink="">
      <xdr:nvSpPr>
        <xdr:cNvPr id="33" name="Retângulo: Cantos Arredondados 32">
          <a:extLst>
            <a:ext uri="{FF2B5EF4-FFF2-40B4-BE49-F238E27FC236}">
              <a16:creationId xmlns:a16="http://schemas.microsoft.com/office/drawing/2014/main" id="{C0432899-99F9-4E6A-B2AE-FEA23AEB6CB7}"/>
            </a:ext>
          </a:extLst>
        </xdr:cNvPr>
        <xdr:cNvSpPr/>
      </xdr:nvSpPr>
      <xdr:spPr>
        <a:xfrm>
          <a:off x="247650" y="19745325"/>
          <a:ext cx="11791950" cy="819150"/>
        </a:xfrm>
        <a:prstGeom prst="roundRect">
          <a:avLst>
            <a:gd name="adj" fmla="val 50000"/>
          </a:avLst>
        </a:prstGeom>
        <a:solidFill>
          <a:srgbClr val="0070C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endParaRPr lang="pt-BR" sz="3400" baseline="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</xdr:col>
      <xdr:colOff>0</xdr:colOff>
      <xdr:row>96</xdr:row>
      <xdr:rowOff>76200</xdr:rowOff>
    </xdr:from>
    <xdr:to>
      <xdr:col>17</xdr:col>
      <xdr:colOff>608670</xdr:colOff>
      <xdr:row>103</xdr:row>
      <xdr:rowOff>38699</xdr:rowOff>
    </xdr:to>
    <xdr:sp macro="" textlink="">
      <xdr:nvSpPr>
        <xdr:cNvPr id="35" name="Retângulo: Cantos Arredondados 34">
          <a:extLst>
            <a:ext uri="{FF2B5EF4-FFF2-40B4-BE49-F238E27FC236}">
              <a16:creationId xmlns:a16="http://schemas.microsoft.com/office/drawing/2014/main" id="{514F7F59-E85D-4397-8083-9B8FBD9B3EC1}"/>
            </a:ext>
          </a:extLst>
        </xdr:cNvPr>
        <xdr:cNvSpPr/>
      </xdr:nvSpPr>
      <xdr:spPr>
        <a:xfrm>
          <a:off x="200025" y="18364200"/>
          <a:ext cx="11791020" cy="1295999"/>
        </a:xfrm>
        <a:prstGeom prst="roundRect">
          <a:avLst>
            <a:gd name="adj" fmla="val 13452"/>
          </a:avLst>
        </a:prstGeom>
        <a:solidFill>
          <a:schemeClr val="accent1">
            <a:lumMod val="20000"/>
            <a:lumOff val="8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lang="pt-BR" sz="3400"/>
        </a:p>
      </xdr:txBody>
    </xdr:sp>
    <xdr:clientData/>
  </xdr:twoCellAnchor>
  <xdr:twoCellAnchor>
    <xdr:from>
      <xdr:col>1</xdr:col>
      <xdr:colOff>0</xdr:colOff>
      <xdr:row>108</xdr:row>
      <xdr:rowOff>104775</xdr:rowOff>
    </xdr:from>
    <xdr:to>
      <xdr:col>17</xdr:col>
      <xdr:colOff>314325</xdr:colOff>
      <xdr:row>124</xdr:row>
      <xdr:rowOff>95250</xdr:rowOff>
    </xdr:to>
    <xdr:graphicFrame macro="">
      <xdr:nvGraphicFramePr>
        <xdr:cNvPr id="36" name="Gráfico 35">
          <a:extLst>
            <a:ext uri="{FF2B5EF4-FFF2-40B4-BE49-F238E27FC236}">
              <a16:creationId xmlns:a16="http://schemas.microsoft.com/office/drawing/2014/main" id="{EC4C2F49-8957-4638-9394-FD9D2412ADD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 editAs="oneCell">
    <xdr:from>
      <xdr:col>1</xdr:col>
      <xdr:colOff>171450</xdr:colOff>
      <xdr:row>96</xdr:row>
      <xdr:rowOff>142875</xdr:rowOff>
    </xdr:from>
    <xdr:to>
      <xdr:col>17</xdr:col>
      <xdr:colOff>447675</xdr:colOff>
      <xdr:row>102</xdr:row>
      <xdr:rowOff>142874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7" name="Data do Pagamento / Compra">
              <a:extLst>
                <a:ext uri="{FF2B5EF4-FFF2-40B4-BE49-F238E27FC236}">
                  <a16:creationId xmlns:a16="http://schemas.microsoft.com/office/drawing/2014/main" id="{C3BB90E3-BA50-3C72-847C-4D7003FDE5B1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Data do Pagamento / Compra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71475" y="18430875"/>
              <a:ext cx="11458575" cy="1142999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rcos Wille" refreshedDate="45392.830786574072" createdVersion="8" refreshedVersion="8" minRefreshableVersion="3" recordCount="517" xr:uid="{F399214A-5599-49D1-877F-E6653DED68C0}">
  <cacheSource type="worksheet">
    <worksheetSource name="Tabela1"/>
  </cacheSource>
  <cacheFields count="12">
    <cacheField name="Descrição" numFmtId="0">
      <sharedItems containsBlank="1" count="147">
        <s v="Farmácia"/>
        <s v="Giassi"/>
        <s v="Remédio Catarinense"/>
        <s v="Vitorino"/>
        <s v="Restaurante"/>
        <s v="POP  "/>
        <s v="Aluguel"/>
        <s v="Cooper"/>
        <s v="Super Dog"/>
        <s v="Celular iza"/>
        <s v="Tim"/>
        <s v="Havan"/>
        <s v="Tupy"/>
        <s v="Posto"/>
        <s v="Slice pizza"/>
        <s v="lover Pub"/>
        <s v="Doação"/>
        <s v="Marka"/>
        <s v="Rosa cruz"/>
        <s v="Portal do Iguaçu"/>
        <s v="Irmãos Madalosso"/>
        <s v="Estacionamento"/>
        <s v="Água"/>
        <s v="Posto Veneza"/>
        <s v="Capa Celular"/>
        <s v="Internet"/>
        <s v="MP Salgados"/>
        <s v="Opa"/>
        <s v="Casa Raul"/>
        <s v="Texas Bar"/>
        <s v="Cabelo"/>
        <s v="CENTAURO"/>
        <s v="STARBUCKS BRASIL"/>
        <s v="PALMEIRAO"/>
        <s v="MILIUM"/>
        <s v="Casa China"/>
        <s v="FARMACIA PRECO"/>
        <s v="Posrto"/>
        <s v="Bella Roma"/>
        <s v="Faculdade"/>
        <s v="Mercado"/>
        <s v="Padaria"/>
        <s v="POP"/>
        <s v="SALGADOSDAS NACOES"/>
        <s v="VARIEDADES COMERCIO DE JOINVILLE"/>
        <s v="Panificadora Pires"/>
        <s v="Cerveja"/>
        <s v="EDUARDO DAROSSI"/>
        <s v="Ipone"/>
        <s v="Movida"/>
        <s v="Academia"/>
        <s v="Rdrigo Finclas"/>
        <s v="Finclas"/>
        <s v="Manual saúde"/>
        <s v="Canva"/>
        <s v="HOSTINGER.COM.BR"/>
        <s v="Ajuste de saldo (C6)"/>
        <s v="Trufa"/>
        <s v="Baratinha"/>
        <s v="Andréia"/>
        <s v="Chip tim"/>
        <s v="Luz"/>
        <s v="Condomínio"/>
        <s v="CDB C6"/>
        <s v="Chop"/>
        <s v="Boné"/>
        <s v="Kalzone"/>
        <s v="Cuecas Amazon"/>
        <s v="Pizza"/>
        <s v="PRT"/>
        <s v="Bar"/>
        <s v="Cassol"/>
        <s v="Uber"/>
        <s v="Cartinha Pókemon"/>
        <s v="Livro mãe"/>
        <s v="Chip Pedro"/>
        <s v="Pix"/>
        <s v="Toalhas Casa Sofia"/>
        <s v="Destista"/>
        <s v="Bolsa faculdade"/>
        <s v=" Ad Salário"/>
        <s v="Millenium lanches"/>
        <s v="Starbuks"/>
        <s v="VARIEDADES COMERCIO"/>
        <s v="FARMACIA"/>
        <s v="MERCADO ALBANO"/>
        <s v="PANIF PIRES"/>
        <s v="Finclas Rodrigo"/>
        <s v="Abajur Sol"/>
        <s v="Curso Cientista"/>
        <s v="Renner"/>
        <s v="Livro Poder do hábito"/>
        <s v="Iphone"/>
        <s v="Toniinho"/>
        <s v="Pão"/>
        <s v="Barratinha"/>
        <s v="Salário"/>
        <s v="Livro Av. de Mike"/>
        <s v="Amazon Prime"/>
        <s v="Poupança"/>
        <s v="Passe onibus"/>
        <s v="Sorvete"/>
        <s v="Biz Pedro"/>
        <s v="Mercado bafonica"/>
        <s v="Remédio Preço popular"/>
        <s v="Palmeirão"/>
        <s v="Mundial Mix"/>
        <s v="Remédio Pedro (Denge)"/>
        <s v="Posto Principe"/>
        <s v="Viagem Treking"/>
        <s v="Camisetas"/>
        <s v="Calça"/>
        <s v="Tenis"/>
        <s v="Liv CTBA"/>
        <m/>
        <s v="Pouoança" u="1"/>
        <s v="Posto " u="1"/>
        <s v="Livro " u="1"/>
        <s v="Livro Podeer do hábito" u="1"/>
        <s v="Taiana Variedades" u="1"/>
        <s v="Bermuda Renner" u="1"/>
        <s v="Bom Bom" u="1"/>
        <s v="CBD C6" u="1"/>
        <s v="Investimento" u="1"/>
        <s v="Maiara" u="1"/>
        <s v="Coopre" u="1"/>
        <s v="Hot dog" u="1"/>
        <s v="OPA Bier" u="1"/>
        <s v="Restairante" u="1"/>
        <s v="Lanche" u="1"/>
        <s v="Pedro" u="1"/>
        <s v="Identidade Pedro" u="1"/>
        <s v="Padaria " u="1"/>
        <s v="Cigarro" u="1"/>
        <s v="JM Distribuidora" u="1"/>
        <s v="Toninho" u="1"/>
        <s v="Boné Pedro" u="1"/>
        <s v="Bar Garoto" u="1"/>
        <s v="Milenium" u="1"/>
        <s v="Pagode" u="1"/>
        <s v="13º" u="1"/>
        <s v="Férias" u="1"/>
        <s v="Burger King" u="1"/>
        <s v="Presente Iza" u="1"/>
        <s v="Angeloni" u="1"/>
        <s v="Toninho (Almoço)" u="1"/>
        <s v="Null" u="1"/>
      </sharedItems>
    </cacheField>
    <cacheField name="Caixa" numFmtId="0">
      <sharedItems containsBlank="1" count="5">
        <s v="Despesa"/>
        <s v="Receita"/>
        <s v="Investimento"/>
        <m/>
        <s v="Cerveja" u="1"/>
      </sharedItems>
    </cacheField>
    <cacheField name="Tag" numFmtId="0">
      <sharedItems containsBlank="1" count="11">
        <s v="Saúde"/>
        <s v="Mercado"/>
        <s v="Lazer"/>
        <s v="Transporte"/>
        <s v="Moradia"/>
        <s v="Outros"/>
        <s v="Salário"/>
        <s v="Beleza"/>
        <s v="Educação"/>
        <s v="Investimento"/>
        <m/>
      </sharedItems>
    </cacheField>
    <cacheField name="Forma de Pagamento" numFmtId="0">
      <sharedItems containsBlank="1"/>
    </cacheField>
    <cacheField name="Valor" numFmtId="44">
      <sharedItems containsString="0" containsBlank="1" containsNumber="1" minValue="1.1200000000000001" maxValue="7218"/>
    </cacheField>
    <cacheField name="Data de Compra" numFmtId="14">
      <sharedItems containsNonDate="0" containsDate="1" containsString="0" containsBlank="1" minDate="2024-01-02T00:00:00" maxDate="2024-04-11T00:00:00"/>
    </cacheField>
    <cacheField name="Data do Pagamento / Compra" numFmtId="14">
      <sharedItems containsNonDate="0" containsDate="1" containsString="0" containsBlank="1" minDate="2024-01-02T00:00:00" maxDate="2024-06-17T00:00:00" count="65">
        <d v="2024-01-02T00:00:00"/>
        <d v="2024-01-03T00:00:00"/>
        <d v="2024-01-05T00:00:00"/>
        <d v="2024-01-08T00:00:00"/>
        <d v="2024-01-09T00:00:00"/>
        <d v="2024-01-10T00:00:00"/>
        <d v="2024-01-11T00:00:00"/>
        <d v="2024-01-12T00:00:00"/>
        <d v="2024-01-17T00:00:00"/>
        <d v="2024-01-15T00:00:00"/>
        <d v="2024-01-16T00:00:00"/>
        <d v="2024-01-18T00:00:00"/>
        <d v="2024-01-19T00:00:00"/>
        <d v="2024-01-22T00:00:00"/>
        <d v="2024-01-23T00:00:00"/>
        <d v="2024-01-24T00:00:00"/>
        <d v="2024-01-25T00:00:00"/>
        <d v="2024-01-26T00:00:00"/>
        <d v="2024-02-06T00:00:00"/>
        <d v="2024-02-07T00:00:00"/>
        <d v="2024-02-19T00:00:00"/>
        <d v="2024-01-29T00:00:00"/>
        <d v="2024-01-31T00:00:00"/>
        <d v="2024-02-02T00:00:00"/>
        <d v="2024-02-05T00:00:00"/>
        <d v="2024-02-08T00:00:00"/>
        <d v="2024-02-09T00:00:00"/>
        <d v="2024-02-10T00:00:00"/>
        <d v="2024-03-10T00:00:00"/>
        <d v="2024-02-14T00:00:00"/>
        <d v="2024-02-15T00:00:00"/>
        <d v="2024-02-16T00:00:00"/>
        <d v="2024-02-20T00:00:00"/>
        <d v="2024-02-21T00:00:00"/>
        <d v="2024-02-23T00:00:00"/>
        <d v="2024-02-24T00:00:00"/>
        <d v="2024-02-25T00:00:00"/>
        <d v="2024-02-26T00:00:00"/>
        <d v="2024-02-27T00:00:00"/>
        <d v="2024-02-28T00:00:00"/>
        <d v="2024-03-01T00:00:00"/>
        <d v="2024-03-05T00:00:00"/>
        <d v="2024-03-06T00:00:00"/>
        <d v="2024-03-07T00:00:00"/>
        <d v="2024-03-08T00:00:00"/>
        <d v="2024-03-11T00:00:00"/>
        <d v="2024-03-13T00:00:00"/>
        <d v="2024-04-10T00:00:00"/>
        <d v="2024-04-06T00:00:00"/>
        <d v="2024-03-14T00:00:00"/>
        <d v="2024-03-15T00:00:00"/>
        <m/>
        <d v="2024-03-16T00:00:00"/>
        <d v="2024-03-18T00:00:00"/>
        <d v="2024-05-06T00:00:00"/>
        <d v="2024-03-22T00:00:00"/>
        <d v="2024-03-25T00:00:00"/>
        <d v="2024-03-28T00:00:00"/>
        <d v="2024-03-24T00:00:00"/>
        <d v="2024-04-08T00:00:00"/>
        <d v="2024-04-09T00:00:00"/>
        <d v="2024-03-09T00:00:00" u="1"/>
        <d v="2024-03-12T00:00:00" u="1"/>
        <d v="2024-06-16T00:00:00" u="1"/>
        <d v="2024-02-29T00:00:00" u="1"/>
      </sharedItems>
      <fieldGroup par="11"/>
    </cacheField>
    <cacheField name="Categoria de despesa" numFmtId="0">
      <sharedItems count="5">
        <s v="Essencial"/>
        <s v="Não essencial"/>
        <s v="Receita"/>
        <s v="Investimento"/>
        <s v=""/>
      </sharedItems>
    </cacheField>
    <cacheField name="Mês" numFmtId="14">
      <sharedItems count="8">
        <s v="janeiro"/>
        <s v="fevereiro"/>
        <s v="março"/>
        <s v="abril"/>
        <s v=""/>
        <s v="maio"/>
        <s v="junho" u="1"/>
        <s v="dezembro" u="1"/>
      </sharedItems>
    </cacheField>
    <cacheField name="Status" numFmtId="14">
      <sharedItems/>
    </cacheField>
    <cacheField name="Dias (Data do Pagamento / Compra)" numFmtId="0" databaseField="0">
      <fieldGroup base="6">
        <rangePr groupBy="days" startDate="2024-01-02T00:00:00" endDate="2024-05-07T00:00:00"/>
        <groupItems count="368">
          <s v="&lt;02/01/2024"/>
          <s v="01/jan"/>
          <s v="02/jan"/>
          <s v="03/jan"/>
          <s v="04/jan"/>
          <s v="05/jan"/>
          <s v="06/jan"/>
          <s v="07/jan"/>
          <s v="08/jan"/>
          <s v="09/jan"/>
          <s v="10/jan"/>
          <s v="11/jan"/>
          <s v="12/jan"/>
          <s v="13/jan"/>
          <s v="14/jan"/>
          <s v="15/jan"/>
          <s v="16/jan"/>
          <s v="17/jan"/>
          <s v="18/jan"/>
          <s v="19/jan"/>
          <s v="20/jan"/>
          <s v="21/jan"/>
          <s v="22/jan"/>
          <s v="23/jan"/>
          <s v="24/jan"/>
          <s v="25/jan"/>
          <s v="26/jan"/>
          <s v="27/jan"/>
          <s v="28/jan"/>
          <s v="29/jan"/>
          <s v="30/jan"/>
          <s v="31/jan"/>
          <s v="01/fev"/>
          <s v="02/fev"/>
          <s v="03/fev"/>
          <s v="04/fev"/>
          <s v="05/fev"/>
          <s v="06/fev"/>
          <s v="07/fev"/>
          <s v="08/fev"/>
          <s v="09/fev"/>
          <s v="10/fev"/>
          <s v="11/fev"/>
          <s v="12/fev"/>
          <s v="13/fev"/>
          <s v="14/fev"/>
          <s v="15/fev"/>
          <s v="16/fev"/>
          <s v="17/fev"/>
          <s v="18/fev"/>
          <s v="19/fev"/>
          <s v="20/fev"/>
          <s v="21/fev"/>
          <s v="22/fev"/>
          <s v="23/fev"/>
          <s v="24/fev"/>
          <s v="25/fev"/>
          <s v="26/fev"/>
          <s v="27/fev"/>
          <s v="28/fev"/>
          <s v="29/fev"/>
          <s v="01/mar"/>
          <s v="02/mar"/>
          <s v="03/mar"/>
          <s v="04/mar"/>
          <s v="05/mar"/>
          <s v="06/mar"/>
          <s v="07/mar"/>
          <s v="08/mar"/>
          <s v="09/mar"/>
          <s v="10/mar"/>
          <s v="11/mar"/>
          <s v="12/mar"/>
          <s v="13/mar"/>
          <s v="14/mar"/>
          <s v="15/mar"/>
          <s v="16/mar"/>
          <s v="17/mar"/>
          <s v="18/mar"/>
          <s v="19/mar"/>
          <s v="20/mar"/>
          <s v="21/mar"/>
          <s v="22/mar"/>
          <s v="23/mar"/>
          <s v="24/mar"/>
          <s v="25/mar"/>
          <s v="26/mar"/>
          <s v="27/mar"/>
          <s v="28/mar"/>
          <s v="29/mar"/>
          <s v="30/mar"/>
          <s v="31/mar"/>
          <s v="01/abr"/>
          <s v="02/abr"/>
          <s v="03/abr"/>
          <s v="04/abr"/>
          <s v="05/abr"/>
          <s v="06/abr"/>
          <s v="07/abr"/>
          <s v="08/abr"/>
          <s v="09/abr"/>
          <s v="10/abr"/>
          <s v="11/abr"/>
          <s v="12/abr"/>
          <s v="13/abr"/>
          <s v="14/abr"/>
          <s v="15/abr"/>
          <s v="16/abr"/>
          <s v="17/abr"/>
          <s v="18/abr"/>
          <s v="19/abr"/>
          <s v="20/abr"/>
          <s v="21/abr"/>
          <s v="22/abr"/>
          <s v="23/abr"/>
          <s v="24/abr"/>
          <s v="25/abr"/>
          <s v="26/abr"/>
          <s v="27/abr"/>
          <s v="28/abr"/>
          <s v="29/abr"/>
          <s v="30/abr"/>
          <s v="01/mai"/>
          <s v="02/mai"/>
          <s v="03/mai"/>
          <s v="04/mai"/>
          <s v="05/mai"/>
          <s v="06/mai"/>
          <s v="07/mai"/>
          <s v="08/mai"/>
          <s v="09/mai"/>
          <s v="10/mai"/>
          <s v="11/mai"/>
          <s v="12/mai"/>
          <s v="13/mai"/>
          <s v="14/mai"/>
          <s v="15/mai"/>
          <s v="16/mai"/>
          <s v="17/mai"/>
          <s v="18/mai"/>
          <s v="19/mai"/>
          <s v="20/mai"/>
          <s v="21/mai"/>
          <s v="22/mai"/>
          <s v="23/mai"/>
          <s v="24/mai"/>
          <s v="25/mai"/>
          <s v="26/mai"/>
          <s v="27/mai"/>
          <s v="28/mai"/>
          <s v="29/mai"/>
          <s v="30/mai"/>
          <s v="31/mai"/>
          <s v="01/jun"/>
          <s v="02/jun"/>
          <s v="03/jun"/>
          <s v="04/jun"/>
          <s v="05/jun"/>
          <s v="06/jun"/>
          <s v="07/jun"/>
          <s v="08/jun"/>
          <s v="09/jun"/>
          <s v="10/jun"/>
          <s v="11/jun"/>
          <s v="12/jun"/>
          <s v="13/jun"/>
          <s v="14/jun"/>
          <s v="15/jun"/>
          <s v="16/jun"/>
          <s v="17/jun"/>
          <s v="18/jun"/>
          <s v="19/jun"/>
          <s v="20/jun"/>
          <s v="21/jun"/>
          <s v="22/jun"/>
          <s v="23/jun"/>
          <s v="24/jun"/>
          <s v="25/jun"/>
          <s v="26/jun"/>
          <s v="27/jun"/>
          <s v="28/jun"/>
          <s v="29/jun"/>
          <s v="30/jun"/>
          <s v="01/jul"/>
          <s v="02/jul"/>
          <s v="03/jul"/>
          <s v="04/jul"/>
          <s v="05/jul"/>
          <s v="06/jul"/>
          <s v="07/jul"/>
          <s v="08/jul"/>
          <s v="09/jul"/>
          <s v="10/jul"/>
          <s v="11/jul"/>
          <s v="12/jul"/>
          <s v="13/jul"/>
          <s v="14/jul"/>
          <s v="15/jul"/>
          <s v="16/jul"/>
          <s v="17/jul"/>
          <s v="18/jul"/>
          <s v="19/jul"/>
          <s v="20/jul"/>
          <s v="21/jul"/>
          <s v="22/jul"/>
          <s v="23/jul"/>
          <s v="24/jul"/>
          <s v="25/jul"/>
          <s v="26/jul"/>
          <s v="27/jul"/>
          <s v="28/jul"/>
          <s v="29/jul"/>
          <s v="30/jul"/>
          <s v="31/jul"/>
          <s v="01/ago"/>
          <s v="02/ago"/>
          <s v="03/ago"/>
          <s v="04/ago"/>
          <s v="05/ago"/>
          <s v="06/ago"/>
          <s v="07/ago"/>
          <s v="08/ago"/>
          <s v="09/ago"/>
          <s v="10/ago"/>
          <s v="11/ago"/>
          <s v="12/ago"/>
          <s v="13/ago"/>
          <s v="14/ago"/>
          <s v="15/ago"/>
          <s v="16/ago"/>
          <s v="17/ago"/>
          <s v="18/ago"/>
          <s v="19/ago"/>
          <s v="20/ago"/>
          <s v="21/ago"/>
          <s v="22/ago"/>
          <s v="23/ago"/>
          <s v="24/ago"/>
          <s v="25/ago"/>
          <s v="26/ago"/>
          <s v="27/ago"/>
          <s v="28/ago"/>
          <s v="29/ago"/>
          <s v="30/ago"/>
          <s v="31/ago"/>
          <s v="01/set"/>
          <s v="02/set"/>
          <s v="03/set"/>
          <s v="04/set"/>
          <s v="05/set"/>
          <s v="06/set"/>
          <s v="07/set"/>
          <s v="08/set"/>
          <s v="09/set"/>
          <s v="10/set"/>
          <s v="11/set"/>
          <s v="12/set"/>
          <s v="13/set"/>
          <s v="14/set"/>
          <s v="15/set"/>
          <s v="16/set"/>
          <s v="17/set"/>
          <s v="18/set"/>
          <s v="19/set"/>
          <s v="20/set"/>
          <s v="21/set"/>
          <s v="22/set"/>
          <s v="23/set"/>
          <s v="24/set"/>
          <s v="25/set"/>
          <s v="26/set"/>
          <s v="27/set"/>
          <s v="28/set"/>
          <s v="29/set"/>
          <s v="30/set"/>
          <s v="01/out"/>
          <s v="02/out"/>
          <s v="03/out"/>
          <s v="04/out"/>
          <s v="05/out"/>
          <s v="06/out"/>
          <s v="07/out"/>
          <s v="08/out"/>
          <s v="09/out"/>
          <s v="10/out"/>
          <s v="11/out"/>
          <s v="12/out"/>
          <s v="13/out"/>
          <s v="14/out"/>
          <s v="15/out"/>
          <s v="16/out"/>
          <s v="17/out"/>
          <s v="18/out"/>
          <s v="19/out"/>
          <s v="20/out"/>
          <s v="21/out"/>
          <s v="22/out"/>
          <s v="23/out"/>
          <s v="24/out"/>
          <s v="25/out"/>
          <s v="26/out"/>
          <s v="27/out"/>
          <s v="28/out"/>
          <s v="29/out"/>
          <s v="30/out"/>
          <s v="31/out"/>
          <s v="01/nov"/>
          <s v="02/nov"/>
          <s v="03/nov"/>
          <s v="04/nov"/>
          <s v="05/nov"/>
          <s v="06/nov"/>
          <s v="07/nov"/>
          <s v="08/nov"/>
          <s v="09/nov"/>
          <s v="10/nov"/>
          <s v="11/nov"/>
          <s v="12/nov"/>
          <s v="13/nov"/>
          <s v="14/nov"/>
          <s v="15/nov"/>
          <s v="16/nov"/>
          <s v="17/nov"/>
          <s v="18/nov"/>
          <s v="19/nov"/>
          <s v="20/nov"/>
          <s v="21/nov"/>
          <s v="22/nov"/>
          <s v="23/nov"/>
          <s v="24/nov"/>
          <s v="25/nov"/>
          <s v="26/nov"/>
          <s v="27/nov"/>
          <s v="28/nov"/>
          <s v="29/nov"/>
          <s v="30/nov"/>
          <s v="01/dez"/>
          <s v="02/dez"/>
          <s v="03/dez"/>
          <s v="04/dez"/>
          <s v="05/dez"/>
          <s v="06/dez"/>
          <s v="07/dez"/>
          <s v="08/dez"/>
          <s v="09/dez"/>
          <s v="10/dez"/>
          <s v="11/dez"/>
          <s v="12/dez"/>
          <s v="13/dez"/>
          <s v="14/dez"/>
          <s v="15/dez"/>
          <s v="16/dez"/>
          <s v="17/dez"/>
          <s v="18/dez"/>
          <s v="19/dez"/>
          <s v="20/dez"/>
          <s v="21/dez"/>
          <s v="22/dez"/>
          <s v="23/dez"/>
          <s v="24/dez"/>
          <s v="25/dez"/>
          <s v="26/dez"/>
          <s v="27/dez"/>
          <s v="28/dez"/>
          <s v="29/dez"/>
          <s v="30/dez"/>
          <s v="31/dez"/>
          <s v="&gt;07/05/2024"/>
        </groupItems>
      </fieldGroup>
    </cacheField>
    <cacheField name="Meses (Data do Pagamento / Compra)" numFmtId="0" databaseField="0">
      <fieldGroup base="6">
        <rangePr groupBy="months" startDate="2024-01-02T00:00:00" endDate="2024-05-07T00:00:00"/>
        <groupItems count="14">
          <s v="&lt;02/01/2024"/>
          <s v="jan"/>
          <s v="fev"/>
          <s v="mar"/>
          <s v="abr"/>
          <s v="mai"/>
          <s v="jun"/>
          <s v="jul"/>
          <s v="ago"/>
          <s v="set"/>
          <s v="out"/>
          <s v="nov"/>
          <s v="dez"/>
          <s v="&gt;07/05/2024"/>
        </groupItems>
      </fieldGroup>
    </cacheField>
  </cacheFields>
  <extLst>
    <ext xmlns:x14="http://schemas.microsoft.com/office/spreadsheetml/2009/9/main" uri="{725AE2AE-9491-48be-B2B4-4EB974FC3084}">
      <x14:pivotCacheDefinition pivotCacheId="594627887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17">
  <r>
    <x v="0"/>
    <x v="0"/>
    <x v="0"/>
    <s v="Débito"/>
    <n v="12.34"/>
    <d v="2024-01-02T00:00:00"/>
    <x v="0"/>
    <x v="0"/>
    <x v="0"/>
    <s v="Pago"/>
  </r>
  <r>
    <x v="1"/>
    <x v="0"/>
    <x v="1"/>
    <s v="Débito"/>
    <n v="139.93"/>
    <d v="2024-01-02T00:00:00"/>
    <x v="0"/>
    <x v="0"/>
    <x v="0"/>
    <s v="Pago"/>
  </r>
  <r>
    <x v="2"/>
    <x v="0"/>
    <x v="0"/>
    <s v="Débito"/>
    <n v="87"/>
    <d v="2024-01-02T00:00:00"/>
    <x v="0"/>
    <x v="0"/>
    <x v="0"/>
    <s v="Pago"/>
  </r>
  <r>
    <x v="3"/>
    <x v="0"/>
    <x v="1"/>
    <s v="Débito"/>
    <n v="34.97"/>
    <d v="2024-01-02T00:00:00"/>
    <x v="0"/>
    <x v="0"/>
    <x v="0"/>
    <s v="Pago"/>
  </r>
  <r>
    <x v="4"/>
    <x v="0"/>
    <x v="2"/>
    <s v="Débito"/>
    <n v="40"/>
    <d v="2024-01-02T00:00:00"/>
    <x v="0"/>
    <x v="1"/>
    <x v="0"/>
    <s v="Pago"/>
  </r>
  <r>
    <x v="5"/>
    <x v="0"/>
    <x v="3"/>
    <s v="Débito"/>
    <n v="6.9"/>
    <d v="2024-01-03T00:00:00"/>
    <x v="0"/>
    <x v="0"/>
    <x v="0"/>
    <s v="Pago atrasado"/>
  </r>
  <r>
    <x v="5"/>
    <x v="0"/>
    <x v="3"/>
    <s v="Débito"/>
    <n v="7.6"/>
    <d v="2024-01-03T00:00:00"/>
    <x v="1"/>
    <x v="0"/>
    <x v="0"/>
    <s v="Pago"/>
  </r>
  <r>
    <x v="1"/>
    <x v="0"/>
    <x v="1"/>
    <s v="Débito"/>
    <n v="151.37"/>
    <d v="2024-01-03T00:00:00"/>
    <x v="1"/>
    <x v="0"/>
    <x v="0"/>
    <s v="Pago"/>
  </r>
  <r>
    <x v="6"/>
    <x v="0"/>
    <x v="4"/>
    <s v="Boleto"/>
    <n v="950"/>
    <d v="2024-01-05T00:00:00"/>
    <x v="2"/>
    <x v="0"/>
    <x v="0"/>
    <s v="Pago"/>
  </r>
  <r>
    <x v="7"/>
    <x v="0"/>
    <x v="1"/>
    <s v="Débito"/>
    <n v="74.14"/>
    <d v="2024-01-05T00:00:00"/>
    <x v="2"/>
    <x v="0"/>
    <x v="0"/>
    <s v="Pago"/>
  </r>
  <r>
    <x v="8"/>
    <x v="0"/>
    <x v="2"/>
    <s v="Débito"/>
    <n v="24"/>
    <d v="2024-01-05T00:00:00"/>
    <x v="2"/>
    <x v="1"/>
    <x v="0"/>
    <s v="Pago"/>
  </r>
  <r>
    <x v="5"/>
    <x v="0"/>
    <x v="3"/>
    <s v="Débito"/>
    <n v="8.3000000000000007"/>
    <d v="2024-01-05T00:00:00"/>
    <x v="2"/>
    <x v="0"/>
    <x v="0"/>
    <s v="Pago"/>
  </r>
  <r>
    <x v="5"/>
    <x v="0"/>
    <x v="3"/>
    <s v="Débito"/>
    <n v="13.3"/>
    <d v="2024-01-05T00:00:00"/>
    <x v="2"/>
    <x v="0"/>
    <x v="0"/>
    <s v="Pago"/>
  </r>
  <r>
    <x v="5"/>
    <x v="0"/>
    <x v="3"/>
    <s v="Débito"/>
    <n v="6.9"/>
    <d v="2024-01-05T00:00:00"/>
    <x v="2"/>
    <x v="0"/>
    <x v="0"/>
    <s v="Pago"/>
  </r>
  <r>
    <x v="5"/>
    <x v="0"/>
    <x v="3"/>
    <s v="Débito"/>
    <n v="7.5"/>
    <d v="2024-01-05T00:00:00"/>
    <x v="2"/>
    <x v="0"/>
    <x v="0"/>
    <s v="Pago"/>
  </r>
  <r>
    <x v="1"/>
    <x v="0"/>
    <x v="1"/>
    <s v="Débito"/>
    <n v="149.29"/>
    <d v="2024-01-05T00:00:00"/>
    <x v="2"/>
    <x v="0"/>
    <x v="0"/>
    <s v="Pago"/>
  </r>
  <r>
    <x v="9"/>
    <x v="0"/>
    <x v="5"/>
    <s v="Débito"/>
    <n v="200"/>
    <d v="2024-01-05T00:00:00"/>
    <x v="2"/>
    <x v="1"/>
    <x v="0"/>
    <s v="Pago"/>
  </r>
  <r>
    <x v="10"/>
    <x v="0"/>
    <x v="5"/>
    <s v="Débito"/>
    <n v="90"/>
    <d v="2024-01-05T00:00:00"/>
    <x v="2"/>
    <x v="1"/>
    <x v="0"/>
    <s v="Pago"/>
  </r>
  <r>
    <x v="11"/>
    <x v="0"/>
    <x v="4"/>
    <s v="Débito"/>
    <n v="65"/>
    <d v="2024-01-05T00:00:00"/>
    <x v="2"/>
    <x v="0"/>
    <x v="0"/>
    <s v="Pago"/>
  </r>
  <r>
    <x v="12"/>
    <x v="1"/>
    <x v="6"/>
    <s v="Débito"/>
    <n v="2787.17"/>
    <d v="2024-01-05T00:00:00"/>
    <x v="2"/>
    <x v="2"/>
    <x v="0"/>
    <s v="Recebido"/>
  </r>
  <r>
    <x v="5"/>
    <x v="0"/>
    <x v="3"/>
    <s v="Débito"/>
    <n v="6.9"/>
    <d v="2024-01-08T00:00:00"/>
    <x v="3"/>
    <x v="0"/>
    <x v="0"/>
    <s v="Pago"/>
  </r>
  <r>
    <x v="13"/>
    <x v="0"/>
    <x v="2"/>
    <s v="Débito"/>
    <n v="18.96"/>
    <d v="2024-01-08T00:00:00"/>
    <x v="3"/>
    <x v="1"/>
    <x v="0"/>
    <s v="Pago"/>
  </r>
  <r>
    <x v="13"/>
    <x v="0"/>
    <x v="2"/>
    <s v="Débito"/>
    <n v="63.92"/>
    <d v="2024-01-08T00:00:00"/>
    <x v="3"/>
    <x v="1"/>
    <x v="0"/>
    <s v="Pago"/>
  </r>
  <r>
    <x v="5"/>
    <x v="0"/>
    <x v="3"/>
    <s v="Débito"/>
    <n v="9.99"/>
    <d v="2024-01-08T00:00:00"/>
    <x v="3"/>
    <x v="0"/>
    <x v="0"/>
    <s v="Pago"/>
  </r>
  <r>
    <x v="5"/>
    <x v="0"/>
    <x v="3"/>
    <s v="Débito"/>
    <n v="9.5299999999999994"/>
    <d v="2024-01-08T00:00:00"/>
    <x v="3"/>
    <x v="0"/>
    <x v="0"/>
    <s v="Pago"/>
  </r>
  <r>
    <x v="4"/>
    <x v="0"/>
    <x v="2"/>
    <s v="Débito"/>
    <n v="15"/>
    <d v="2024-01-08T00:00:00"/>
    <x v="3"/>
    <x v="1"/>
    <x v="0"/>
    <s v="Pago"/>
  </r>
  <r>
    <x v="14"/>
    <x v="0"/>
    <x v="2"/>
    <s v="Débito"/>
    <n v="11.9"/>
    <d v="2024-01-08T00:00:00"/>
    <x v="3"/>
    <x v="1"/>
    <x v="0"/>
    <s v="Pago"/>
  </r>
  <r>
    <x v="15"/>
    <x v="0"/>
    <x v="2"/>
    <s v="Débito"/>
    <n v="37.479999999999997"/>
    <d v="2024-01-08T00:00:00"/>
    <x v="3"/>
    <x v="1"/>
    <x v="0"/>
    <s v="Pago"/>
  </r>
  <r>
    <x v="16"/>
    <x v="0"/>
    <x v="5"/>
    <s v="Débito"/>
    <n v="3"/>
    <d v="2024-01-08T00:00:00"/>
    <x v="3"/>
    <x v="1"/>
    <x v="0"/>
    <s v="Pago"/>
  </r>
  <r>
    <x v="13"/>
    <x v="0"/>
    <x v="2"/>
    <s v="Débito"/>
    <n v="18.989999999999998"/>
    <d v="2024-01-09T00:00:00"/>
    <x v="4"/>
    <x v="1"/>
    <x v="0"/>
    <s v="Pago"/>
  </r>
  <r>
    <x v="17"/>
    <x v="1"/>
    <x v="6"/>
    <s v="Débito"/>
    <n v="500"/>
    <d v="2024-01-10T00:00:00"/>
    <x v="5"/>
    <x v="2"/>
    <x v="0"/>
    <s v="Recebido"/>
  </r>
  <r>
    <x v="5"/>
    <x v="0"/>
    <x v="3"/>
    <s v="Débito"/>
    <n v="7.6"/>
    <d v="2024-01-10T00:00:00"/>
    <x v="5"/>
    <x v="0"/>
    <x v="0"/>
    <s v="Pago"/>
  </r>
  <r>
    <x v="18"/>
    <x v="0"/>
    <x v="2"/>
    <s v="Débito"/>
    <n v="60"/>
    <d v="2024-01-10T00:00:00"/>
    <x v="5"/>
    <x v="1"/>
    <x v="0"/>
    <s v="Pago"/>
  </r>
  <r>
    <x v="13"/>
    <x v="0"/>
    <x v="2"/>
    <s v="Débito"/>
    <n v="27.85"/>
    <d v="2024-01-10T00:00:00"/>
    <x v="5"/>
    <x v="1"/>
    <x v="0"/>
    <s v="Pago"/>
  </r>
  <r>
    <x v="19"/>
    <x v="0"/>
    <x v="2"/>
    <s v="Débito"/>
    <n v="5"/>
    <d v="2024-01-10T00:00:00"/>
    <x v="5"/>
    <x v="1"/>
    <x v="0"/>
    <s v="Pago"/>
  </r>
  <r>
    <x v="20"/>
    <x v="0"/>
    <x v="2"/>
    <s v="Débito"/>
    <n v="149.30000000000001"/>
    <d v="2024-01-10T00:00:00"/>
    <x v="5"/>
    <x v="1"/>
    <x v="0"/>
    <s v="Pago"/>
  </r>
  <r>
    <x v="18"/>
    <x v="0"/>
    <x v="2"/>
    <s v="Débito"/>
    <n v="5"/>
    <d v="2024-01-10T00:00:00"/>
    <x v="5"/>
    <x v="1"/>
    <x v="0"/>
    <s v="Pago"/>
  </r>
  <r>
    <x v="19"/>
    <x v="0"/>
    <x v="2"/>
    <s v="Débito"/>
    <n v="47"/>
    <d v="2024-01-10T00:00:00"/>
    <x v="5"/>
    <x v="1"/>
    <x v="0"/>
    <s v="Pago"/>
  </r>
  <r>
    <x v="21"/>
    <x v="0"/>
    <x v="2"/>
    <s v="Débito"/>
    <n v="20"/>
    <d v="2024-01-10T00:00:00"/>
    <x v="5"/>
    <x v="1"/>
    <x v="0"/>
    <s v="Pago"/>
  </r>
  <r>
    <x v="22"/>
    <x v="0"/>
    <x v="0"/>
    <s v="Débito"/>
    <n v="5"/>
    <d v="2024-01-10T00:00:00"/>
    <x v="5"/>
    <x v="0"/>
    <x v="0"/>
    <s v="Pago"/>
  </r>
  <r>
    <x v="5"/>
    <x v="0"/>
    <x v="3"/>
    <s v="Débito"/>
    <n v="7.6"/>
    <d v="2024-01-11T00:00:00"/>
    <x v="6"/>
    <x v="0"/>
    <x v="0"/>
    <s v="Pago"/>
  </r>
  <r>
    <x v="23"/>
    <x v="0"/>
    <x v="3"/>
    <s v="Débito"/>
    <n v="190.4"/>
    <d v="2024-01-11T00:00:00"/>
    <x v="6"/>
    <x v="0"/>
    <x v="0"/>
    <s v="Pago"/>
  </r>
  <r>
    <x v="1"/>
    <x v="0"/>
    <x v="1"/>
    <s v="Débito"/>
    <n v="93.74"/>
    <d v="2024-01-11T00:00:00"/>
    <x v="6"/>
    <x v="0"/>
    <x v="0"/>
    <s v="Pago"/>
  </r>
  <r>
    <x v="24"/>
    <x v="0"/>
    <x v="2"/>
    <s v="Débito"/>
    <n v="85"/>
    <d v="2024-01-11T00:00:00"/>
    <x v="6"/>
    <x v="1"/>
    <x v="0"/>
    <s v="Pago"/>
  </r>
  <r>
    <x v="13"/>
    <x v="0"/>
    <x v="2"/>
    <s v="Débito"/>
    <n v="9.98"/>
    <d v="2024-01-12T00:00:00"/>
    <x v="7"/>
    <x v="1"/>
    <x v="0"/>
    <s v="Pago"/>
  </r>
  <r>
    <x v="5"/>
    <x v="0"/>
    <x v="3"/>
    <s v="Débito"/>
    <n v="15.1"/>
    <d v="2024-01-12T00:00:00"/>
    <x v="7"/>
    <x v="0"/>
    <x v="0"/>
    <s v="Pago"/>
  </r>
  <r>
    <x v="5"/>
    <x v="0"/>
    <x v="3"/>
    <s v="Débito"/>
    <n v="13.8"/>
    <d v="2024-01-12T00:00:00"/>
    <x v="7"/>
    <x v="0"/>
    <x v="0"/>
    <s v="Pago"/>
  </r>
  <r>
    <x v="25"/>
    <x v="0"/>
    <x v="4"/>
    <s v="Boleto"/>
    <n v="60"/>
    <d v="2024-01-15T00:00:00"/>
    <x v="8"/>
    <x v="0"/>
    <x v="0"/>
    <s v="Pago"/>
  </r>
  <r>
    <x v="26"/>
    <x v="0"/>
    <x v="2"/>
    <s v="Débito"/>
    <n v="15"/>
    <d v="2024-01-15T00:00:00"/>
    <x v="9"/>
    <x v="1"/>
    <x v="0"/>
    <s v="Pago"/>
  </r>
  <r>
    <x v="27"/>
    <x v="0"/>
    <x v="2"/>
    <s v="Débito"/>
    <n v="30"/>
    <d v="2024-01-15T00:00:00"/>
    <x v="9"/>
    <x v="1"/>
    <x v="0"/>
    <s v="Pago"/>
  </r>
  <r>
    <x v="13"/>
    <x v="0"/>
    <x v="2"/>
    <s v="Débito"/>
    <n v="5.53"/>
    <d v="2024-01-15T00:00:00"/>
    <x v="9"/>
    <x v="1"/>
    <x v="0"/>
    <s v="Pago"/>
  </r>
  <r>
    <x v="28"/>
    <x v="0"/>
    <x v="2"/>
    <s v="Débito"/>
    <n v="195"/>
    <d v="2024-01-15T00:00:00"/>
    <x v="9"/>
    <x v="1"/>
    <x v="0"/>
    <s v="Pago"/>
  </r>
  <r>
    <x v="29"/>
    <x v="0"/>
    <x v="2"/>
    <s v="Débito"/>
    <n v="28"/>
    <d v="2024-01-15T00:00:00"/>
    <x v="9"/>
    <x v="1"/>
    <x v="0"/>
    <s v="Pago"/>
  </r>
  <r>
    <x v="5"/>
    <x v="0"/>
    <x v="3"/>
    <s v="Débito"/>
    <n v="12.9"/>
    <d v="2024-01-15T00:00:00"/>
    <x v="9"/>
    <x v="0"/>
    <x v="0"/>
    <s v="Pago"/>
  </r>
  <r>
    <x v="5"/>
    <x v="0"/>
    <x v="3"/>
    <s v="Débito"/>
    <n v="15.2"/>
    <d v="2024-01-15T00:00:00"/>
    <x v="9"/>
    <x v="0"/>
    <x v="0"/>
    <s v="Pago"/>
  </r>
  <r>
    <x v="5"/>
    <x v="0"/>
    <x v="3"/>
    <s v="Débito"/>
    <n v="14.1"/>
    <d v="2024-01-15T00:00:00"/>
    <x v="9"/>
    <x v="0"/>
    <x v="0"/>
    <s v="Pago"/>
  </r>
  <r>
    <x v="30"/>
    <x v="0"/>
    <x v="7"/>
    <s v="Débito"/>
    <n v="50"/>
    <d v="2024-01-15T00:00:00"/>
    <x v="9"/>
    <x v="1"/>
    <x v="0"/>
    <s v="Pago"/>
  </r>
  <r>
    <x v="12"/>
    <x v="1"/>
    <x v="6"/>
    <s v="Débito"/>
    <n v="812.46"/>
    <d v="2024-01-15T00:00:00"/>
    <x v="9"/>
    <x v="2"/>
    <x v="0"/>
    <s v="Recebido"/>
  </r>
  <r>
    <x v="31"/>
    <x v="0"/>
    <x v="7"/>
    <s v="Débito"/>
    <n v="39.99"/>
    <d v="2024-01-16T00:00:00"/>
    <x v="10"/>
    <x v="1"/>
    <x v="0"/>
    <s v="Pago"/>
  </r>
  <r>
    <x v="32"/>
    <x v="0"/>
    <x v="2"/>
    <s v="Débito"/>
    <n v="13.5"/>
    <d v="2024-01-16T00:00:00"/>
    <x v="10"/>
    <x v="1"/>
    <x v="0"/>
    <s v="Pago"/>
  </r>
  <r>
    <x v="33"/>
    <x v="0"/>
    <x v="2"/>
    <s v="Débito"/>
    <n v="8"/>
    <d v="2024-01-16T00:00:00"/>
    <x v="10"/>
    <x v="1"/>
    <x v="0"/>
    <s v="Pago"/>
  </r>
  <r>
    <x v="5"/>
    <x v="0"/>
    <x v="3"/>
    <s v="Débito"/>
    <n v="7.7"/>
    <d v="2024-01-16T00:00:00"/>
    <x v="10"/>
    <x v="0"/>
    <x v="0"/>
    <s v="Pago"/>
  </r>
  <r>
    <x v="5"/>
    <x v="0"/>
    <x v="3"/>
    <s v="Débito"/>
    <n v="8.1"/>
    <d v="2024-01-16T00:00:00"/>
    <x v="10"/>
    <x v="0"/>
    <x v="0"/>
    <s v="Pago"/>
  </r>
  <r>
    <x v="34"/>
    <x v="0"/>
    <x v="2"/>
    <s v="Débito"/>
    <n v="58.8"/>
    <d v="2024-01-16T00:00:00"/>
    <x v="10"/>
    <x v="1"/>
    <x v="0"/>
    <s v="Pago"/>
  </r>
  <r>
    <x v="35"/>
    <x v="0"/>
    <x v="2"/>
    <s v="Débito"/>
    <n v="49.99"/>
    <d v="2024-01-16T00:00:00"/>
    <x v="10"/>
    <x v="1"/>
    <x v="0"/>
    <s v="Pago"/>
  </r>
  <r>
    <x v="5"/>
    <x v="0"/>
    <x v="3"/>
    <s v="Débito"/>
    <n v="11.6"/>
    <d v="2024-01-17T00:00:00"/>
    <x v="8"/>
    <x v="0"/>
    <x v="0"/>
    <s v="Pago"/>
  </r>
  <r>
    <x v="5"/>
    <x v="0"/>
    <x v="3"/>
    <s v="Débito"/>
    <n v="12.3"/>
    <d v="2024-01-17T00:00:00"/>
    <x v="8"/>
    <x v="0"/>
    <x v="0"/>
    <s v="Pago"/>
  </r>
  <r>
    <x v="13"/>
    <x v="0"/>
    <x v="2"/>
    <s v="Débito"/>
    <n v="13.9"/>
    <d v="2024-01-17T00:00:00"/>
    <x v="8"/>
    <x v="1"/>
    <x v="0"/>
    <s v="Pago"/>
  </r>
  <r>
    <x v="13"/>
    <x v="0"/>
    <x v="2"/>
    <s v="Débito"/>
    <n v="21.27"/>
    <d v="2024-01-17T00:00:00"/>
    <x v="8"/>
    <x v="1"/>
    <x v="0"/>
    <s v="Pago"/>
  </r>
  <r>
    <x v="5"/>
    <x v="0"/>
    <x v="3"/>
    <s v="Débito"/>
    <n v="27.61"/>
    <d v="2024-01-18T00:00:00"/>
    <x v="11"/>
    <x v="0"/>
    <x v="0"/>
    <s v="Pago"/>
  </r>
  <r>
    <x v="5"/>
    <x v="0"/>
    <x v="3"/>
    <s v="Débito"/>
    <n v="11.3"/>
    <d v="2024-01-18T00:00:00"/>
    <x v="11"/>
    <x v="0"/>
    <x v="0"/>
    <s v="Pago"/>
  </r>
  <r>
    <x v="16"/>
    <x v="0"/>
    <x v="5"/>
    <s v="Débito"/>
    <n v="25"/>
    <d v="2024-01-18T00:00:00"/>
    <x v="11"/>
    <x v="1"/>
    <x v="0"/>
    <s v="Pago"/>
  </r>
  <r>
    <x v="7"/>
    <x v="0"/>
    <x v="1"/>
    <s v="Débito"/>
    <n v="98.45"/>
    <d v="2024-01-19T00:00:00"/>
    <x v="12"/>
    <x v="0"/>
    <x v="0"/>
    <s v="Pago"/>
  </r>
  <r>
    <x v="5"/>
    <x v="0"/>
    <x v="3"/>
    <s v="Débito"/>
    <n v="8.6"/>
    <d v="2024-01-19T00:00:00"/>
    <x v="12"/>
    <x v="0"/>
    <x v="0"/>
    <s v="Pago"/>
  </r>
  <r>
    <x v="5"/>
    <x v="0"/>
    <x v="3"/>
    <s v="Débito"/>
    <n v="17.93"/>
    <d v="2024-01-19T00:00:00"/>
    <x v="12"/>
    <x v="0"/>
    <x v="0"/>
    <s v="Pago"/>
  </r>
  <r>
    <x v="5"/>
    <x v="0"/>
    <x v="3"/>
    <s v="Débito"/>
    <n v="10"/>
    <d v="2024-01-19T00:00:00"/>
    <x v="12"/>
    <x v="0"/>
    <x v="0"/>
    <s v="Pago"/>
  </r>
  <r>
    <x v="5"/>
    <x v="0"/>
    <x v="3"/>
    <s v="Débito"/>
    <n v="13.3"/>
    <d v="2024-01-19T00:00:00"/>
    <x v="12"/>
    <x v="0"/>
    <x v="0"/>
    <s v="Pago"/>
  </r>
  <r>
    <x v="36"/>
    <x v="0"/>
    <x v="0"/>
    <s v="Débito"/>
    <n v="13.2"/>
    <d v="2024-01-22T00:00:00"/>
    <x v="13"/>
    <x v="0"/>
    <x v="0"/>
    <s v="Pago"/>
  </r>
  <r>
    <x v="37"/>
    <x v="0"/>
    <x v="2"/>
    <s v="Débito"/>
    <n v="13.99"/>
    <d v="2024-01-22T00:00:00"/>
    <x v="13"/>
    <x v="1"/>
    <x v="0"/>
    <s v="Pago"/>
  </r>
  <r>
    <x v="5"/>
    <x v="0"/>
    <x v="3"/>
    <s v="Débito"/>
    <n v="19.55"/>
    <d v="2024-01-22T00:00:00"/>
    <x v="13"/>
    <x v="0"/>
    <x v="0"/>
    <s v="Pago"/>
  </r>
  <r>
    <x v="5"/>
    <x v="0"/>
    <x v="3"/>
    <s v="Débito"/>
    <n v="13.6"/>
    <d v="2024-01-22T00:00:00"/>
    <x v="13"/>
    <x v="0"/>
    <x v="0"/>
    <s v="Pago"/>
  </r>
  <r>
    <x v="5"/>
    <x v="0"/>
    <x v="3"/>
    <s v="Débito"/>
    <n v="11.7"/>
    <d v="2024-01-22T00:00:00"/>
    <x v="13"/>
    <x v="0"/>
    <x v="0"/>
    <s v="Pago"/>
  </r>
  <r>
    <x v="33"/>
    <x v="0"/>
    <x v="2"/>
    <s v="Débito"/>
    <n v="16"/>
    <d v="2024-01-22T00:00:00"/>
    <x v="13"/>
    <x v="1"/>
    <x v="0"/>
    <s v="Pago"/>
  </r>
  <r>
    <x v="37"/>
    <x v="0"/>
    <x v="2"/>
    <s v="Débito"/>
    <n v="5.23"/>
    <d v="2024-01-22T00:00:00"/>
    <x v="13"/>
    <x v="1"/>
    <x v="0"/>
    <s v="Pago"/>
  </r>
  <r>
    <x v="5"/>
    <x v="0"/>
    <x v="3"/>
    <s v="Débito"/>
    <n v="13"/>
    <d v="2024-01-23T00:00:00"/>
    <x v="14"/>
    <x v="0"/>
    <x v="0"/>
    <s v="Pago"/>
  </r>
  <r>
    <x v="5"/>
    <x v="0"/>
    <x v="3"/>
    <s v="Débito"/>
    <n v="17.03"/>
    <d v="2024-01-23T00:00:00"/>
    <x v="14"/>
    <x v="0"/>
    <x v="0"/>
    <s v="Pago"/>
  </r>
  <r>
    <x v="5"/>
    <x v="0"/>
    <x v="3"/>
    <s v="Débito"/>
    <n v="1.1200000000000001"/>
    <d v="2024-01-23T00:00:00"/>
    <x v="14"/>
    <x v="0"/>
    <x v="0"/>
    <s v="Pago"/>
  </r>
  <r>
    <x v="38"/>
    <x v="0"/>
    <x v="2"/>
    <s v="Débito"/>
    <n v="55"/>
    <d v="2024-01-23T00:00:00"/>
    <x v="14"/>
    <x v="1"/>
    <x v="0"/>
    <s v="Pago"/>
  </r>
  <r>
    <x v="12"/>
    <x v="1"/>
    <x v="6"/>
    <s v="Next"/>
    <n v="516"/>
    <d v="2024-01-23T00:00:00"/>
    <x v="14"/>
    <x v="2"/>
    <x v="0"/>
    <s v="Recebido"/>
  </r>
  <r>
    <x v="39"/>
    <x v="0"/>
    <x v="8"/>
    <s v="Débito"/>
    <n v="251.1"/>
    <d v="2024-01-24T00:00:00"/>
    <x v="15"/>
    <x v="0"/>
    <x v="0"/>
    <s v="Pago"/>
  </r>
  <r>
    <x v="40"/>
    <x v="0"/>
    <x v="1"/>
    <s v="Débito"/>
    <n v="17.64"/>
    <d v="2024-01-24T00:00:00"/>
    <x v="15"/>
    <x v="0"/>
    <x v="0"/>
    <s v="Pago"/>
  </r>
  <r>
    <x v="41"/>
    <x v="0"/>
    <x v="1"/>
    <s v="Débito"/>
    <n v="12.25"/>
    <d v="2024-01-24T00:00:00"/>
    <x v="15"/>
    <x v="0"/>
    <x v="0"/>
    <s v="Pago"/>
  </r>
  <r>
    <x v="5"/>
    <x v="0"/>
    <x v="3"/>
    <s v="Débito"/>
    <n v="15"/>
    <d v="2024-01-24T00:00:00"/>
    <x v="15"/>
    <x v="0"/>
    <x v="0"/>
    <s v="Pago"/>
  </r>
  <r>
    <x v="7"/>
    <x v="0"/>
    <x v="1"/>
    <s v="Débito"/>
    <n v="58.48"/>
    <d v="2024-01-25T00:00:00"/>
    <x v="16"/>
    <x v="0"/>
    <x v="0"/>
    <s v="Pago"/>
  </r>
  <r>
    <x v="5"/>
    <x v="0"/>
    <x v="3"/>
    <s v="Débito"/>
    <n v="8.4"/>
    <d v="2024-01-25T00:00:00"/>
    <x v="16"/>
    <x v="0"/>
    <x v="0"/>
    <s v="Pago"/>
  </r>
  <r>
    <x v="5"/>
    <x v="0"/>
    <x v="3"/>
    <s v="Débito"/>
    <n v="18.18"/>
    <d v="2024-01-25T00:00:00"/>
    <x v="16"/>
    <x v="0"/>
    <x v="0"/>
    <s v="Pago"/>
  </r>
  <r>
    <x v="5"/>
    <x v="0"/>
    <x v="3"/>
    <s v="Débito"/>
    <n v="11.2"/>
    <d v="2024-01-25T00:00:00"/>
    <x v="16"/>
    <x v="0"/>
    <x v="0"/>
    <s v="Pago"/>
  </r>
  <r>
    <x v="42"/>
    <x v="0"/>
    <x v="3"/>
    <s v="Débito"/>
    <n v="18.05"/>
    <d v="2024-01-26T00:00:00"/>
    <x v="17"/>
    <x v="0"/>
    <x v="0"/>
    <s v="Pago"/>
  </r>
  <r>
    <x v="12"/>
    <x v="1"/>
    <x v="6"/>
    <s v="Next"/>
    <n v="2030.6"/>
    <d v="2024-02-06T00:00:00"/>
    <x v="18"/>
    <x v="2"/>
    <x v="1"/>
    <s v="Recebido"/>
  </r>
  <r>
    <x v="9"/>
    <x v="0"/>
    <x v="5"/>
    <s v="Pix"/>
    <n v="200"/>
    <d v="2024-02-07T00:00:00"/>
    <x v="19"/>
    <x v="1"/>
    <x v="1"/>
    <s v="Pago"/>
  </r>
  <r>
    <x v="43"/>
    <x v="0"/>
    <x v="2"/>
    <s v="Débito"/>
    <n v="25"/>
    <d v="2024-01-26T00:00:00"/>
    <x v="17"/>
    <x v="1"/>
    <x v="0"/>
    <s v="Pago"/>
  </r>
  <r>
    <x v="44"/>
    <x v="0"/>
    <x v="2"/>
    <s v="Débito"/>
    <n v="12.49"/>
    <d v="2024-02-19T00:00:00"/>
    <x v="20"/>
    <x v="1"/>
    <x v="1"/>
    <s v="Pago"/>
  </r>
  <r>
    <x v="13"/>
    <x v="0"/>
    <x v="2"/>
    <s v="Débito"/>
    <n v="25.97"/>
    <d v="2024-01-29T00:00:00"/>
    <x v="21"/>
    <x v="1"/>
    <x v="0"/>
    <s v="Pago"/>
  </r>
  <r>
    <x v="13"/>
    <x v="0"/>
    <x v="2"/>
    <s v="Débito"/>
    <n v="5.14"/>
    <d v="2024-01-29T00:00:00"/>
    <x v="21"/>
    <x v="1"/>
    <x v="0"/>
    <s v="Pago"/>
  </r>
  <r>
    <x v="45"/>
    <x v="0"/>
    <x v="1"/>
    <s v="Débito"/>
    <n v="14.08"/>
    <d v="2024-01-31T00:00:00"/>
    <x v="22"/>
    <x v="0"/>
    <x v="0"/>
    <s v="Pago"/>
  </r>
  <r>
    <x v="13"/>
    <x v="0"/>
    <x v="2"/>
    <s v="Débito"/>
    <n v="25.96"/>
    <d v="2024-02-02T00:00:00"/>
    <x v="23"/>
    <x v="1"/>
    <x v="1"/>
    <s v="Pago"/>
  </r>
  <r>
    <x v="46"/>
    <x v="0"/>
    <x v="2"/>
    <s v="Débito"/>
    <n v="5"/>
    <d v="2024-02-02T00:00:00"/>
    <x v="23"/>
    <x v="1"/>
    <x v="1"/>
    <s v="Pago"/>
  </r>
  <r>
    <x v="47"/>
    <x v="0"/>
    <x v="7"/>
    <s v="Débito"/>
    <n v="90"/>
    <d v="2024-02-05T00:00:00"/>
    <x v="24"/>
    <x v="1"/>
    <x v="1"/>
    <s v="Pago"/>
  </r>
  <r>
    <x v="10"/>
    <x v="0"/>
    <x v="5"/>
    <s v="Pix"/>
    <n v="90.89"/>
    <d v="2024-02-07T00:00:00"/>
    <x v="19"/>
    <x v="1"/>
    <x v="1"/>
    <s v="Pago"/>
  </r>
  <r>
    <x v="48"/>
    <x v="0"/>
    <x v="5"/>
    <s v="C6 Crédito"/>
    <n v="326"/>
    <d v="2024-01-11T00:00:00"/>
    <x v="19"/>
    <x v="1"/>
    <x v="1"/>
    <s v="Pago"/>
  </r>
  <r>
    <x v="49"/>
    <x v="0"/>
    <x v="2"/>
    <s v="C6 Crédito"/>
    <n v="157"/>
    <d v="2024-01-11T00:00:00"/>
    <x v="19"/>
    <x v="1"/>
    <x v="1"/>
    <s v="Pago"/>
  </r>
  <r>
    <x v="50"/>
    <x v="0"/>
    <x v="7"/>
    <s v="C6 Crédito"/>
    <n v="109"/>
    <d v="2024-01-11T00:00:00"/>
    <x v="19"/>
    <x v="1"/>
    <x v="1"/>
    <s v="Pago"/>
  </r>
  <r>
    <x v="51"/>
    <x v="0"/>
    <x v="8"/>
    <s v="Hipercard Crédito"/>
    <n v="29.9"/>
    <d v="2024-01-11T00:00:00"/>
    <x v="19"/>
    <x v="0"/>
    <x v="1"/>
    <s v="Pago"/>
  </r>
  <r>
    <x v="52"/>
    <x v="0"/>
    <x v="8"/>
    <s v="Hipercard Crédito"/>
    <n v="29.9"/>
    <d v="2024-01-11T00:00:00"/>
    <x v="19"/>
    <x v="0"/>
    <x v="1"/>
    <s v="Pago"/>
  </r>
  <r>
    <x v="53"/>
    <x v="0"/>
    <x v="7"/>
    <s v="Hipercard Crédito"/>
    <n v="146.34"/>
    <d v="2024-01-11T00:00:00"/>
    <x v="19"/>
    <x v="1"/>
    <x v="1"/>
    <s v="Pago"/>
  </r>
  <r>
    <x v="54"/>
    <x v="0"/>
    <x v="5"/>
    <s v="Hipercard Crédito"/>
    <n v="34.9"/>
    <d v="2024-01-11T00:00:00"/>
    <x v="19"/>
    <x v="1"/>
    <x v="1"/>
    <s v="Pago"/>
  </r>
  <r>
    <x v="55"/>
    <x v="0"/>
    <x v="5"/>
    <s v="Hipercard Crédito"/>
    <n v="22.4"/>
    <d v="2024-01-11T00:00:00"/>
    <x v="19"/>
    <x v="1"/>
    <x v="1"/>
    <s v="Pago"/>
  </r>
  <r>
    <x v="42"/>
    <x v="0"/>
    <x v="3"/>
    <s v="Hipercard Crédito"/>
    <n v="13.8"/>
    <d v="2024-01-11T00:00:00"/>
    <x v="19"/>
    <x v="0"/>
    <x v="1"/>
    <s v="Pago"/>
  </r>
  <r>
    <x v="42"/>
    <x v="0"/>
    <x v="3"/>
    <s v="Hipercard Crédito"/>
    <n v="10.4"/>
    <d v="2024-01-11T00:00:00"/>
    <x v="19"/>
    <x v="0"/>
    <x v="1"/>
    <s v="Pago"/>
  </r>
  <r>
    <x v="42"/>
    <x v="0"/>
    <x v="3"/>
    <s v="Hipercard Crédito"/>
    <n v="12"/>
    <d v="2024-01-11T00:00:00"/>
    <x v="19"/>
    <x v="0"/>
    <x v="1"/>
    <s v="Pago"/>
  </r>
  <r>
    <x v="42"/>
    <x v="0"/>
    <x v="3"/>
    <s v="Hipercard Crédito"/>
    <n v="11.8"/>
    <d v="2024-01-11T00:00:00"/>
    <x v="19"/>
    <x v="0"/>
    <x v="1"/>
    <s v="Pago"/>
  </r>
  <r>
    <x v="42"/>
    <x v="0"/>
    <x v="3"/>
    <s v="Hipercard Crédito"/>
    <n v="12.5"/>
    <d v="2024-01-11T00:00:00"/>
    <x v="19"/>
    <x v="0"/>
    <x v="1"/>
    <s v="Pago"/>
  </r>
  <r>
    <x v="42"/>
    <x v="0"/>
    <x v="3"/>
    <s v="Hipercard Crédito"/>
    <n v="17.760000000000002"/>
    <d v="2024-01-11T00:00:00"/>
    <x v="19"/>
    <x v="0"/>
    <x v="1"/>
    <s v="Pago"/>
  </r>
  <r>
    <x v="42"/>
    <x v="0"/>
    <x v="3"/>
    <s v="Hipercard Crédito"/>
    <n v="15.06"/>
    <d v="2024-01-11T00:00:00"/>
    <x v="19"/>
    <x v="0"/>
    <x v="1"/>
    <s v="Pago"/>
  </r>
  <r>
    <x v="42"/>
    <x v="0"/>
    <x v="3"/>
    <s v="Hipercard Crédito"/>
    <n v="19.12"/>
    <d v="2024-01-11T00:00:00"/>
    <x v="19"/>
    <x v="0"/>
    <x v="1"/>
    <s v="Pago"/>
  </r>
  <r>
    <x v="42"/>
    <x v="0"/>
    <x v="3"/>
    <s v="Hipercard Crédito"/>
    <n v="19.41"/>
    <d v="2024-01-11T00:00:00"/>
    <x v="19"/>
    <x v="0"/>
    <x v="1"/>
    <s v="Pago"/>
  </r>
  <r>
    <x v="42"/>
    <x v="0"/>
    <x v="3"/>
    <s v="Hipercard Crédito"/>
    <n v="12.3"/>
    <d v="2024-01-11T00:00:00"/>
    <x v="19"/>
    <x v="0"/>
    <x v="1"/>
    <s v="Pago"/>
  </r>
  <r>
    <x v="42"/>
    <x v="0"/>
    <x v="3"/>
    <s v="Hipercard Crédito"/>
    <n v="6.9"/>
    <d v="2024-01-11T00:00:00"/>
    <x v="19"/>
    <x v="0"/>
    <x v="1"/>
    <s v="Pago"/>
  </r>
  <r>
    <x v="42"/>
    <x v="0"/>
    <x v="3"/>
    <s v="Hipercard Crédito"/>
    <n v="19.37"/>
    <d v="2024-01-11T00:00:00"/>
    <x v="19"/>
    <x v="0"/>
    <x v="1"/>
    <s v="Pago"/>
  </r>
  <r>
    <x v="42"/>
    <x v="0"/>
    <x v="3"/>
    <s v="Hipercard Crédito"/>
    <n v="8.6"/>
    <d v="2024-01-11T00:00:00"/>
    <x v="19"/>
    <x v="0"/>
    <x v="1"/>
    <s v="Pago"/>
  </r>
  <r>
    <x v="42"/>
    <x v="0"/>
    <x v="3"/>
    <s v="Hipercard Crédito"/>
    <n v="10.4"/>
    <d v="2024-01-11T00:00:00"/>
    <x v="19"/>
    <x v="0"/>
    <x v="1"/>
    <s v="Pago"/>
  </r>
  <r>
    <x v="42"/>
    <x v="0"/>
    <x v="3"/>
    <s v="Hipercard Crédito"/>
    <n v="19.8"/>
    <d v="2024-01-11T00:00:00"/>
    <x v="19"/>
    <x v="0"/>
    <x v="1"/>
    <s v="Pago"/>
  </r>
  <r>
    <x v="56"/>
    <x v="1"/>
    <x v="6"/>
    <s v="Next"/>
    <n v="2033.39"/>
    <d v="2024-02-06T00:00:00"/>
    <x v="19"/>
    <x v="2"/>
    <x v="1"/>
    <s v="Recebido"/>
  </r>
  <r>
    <x v="57"/>
    <x v="0"/>
    <x v="2"/>
    <s v="Débito"/>
    <n v="10"/>
    <d v="2024-02-07T00:00:00"/>
    <x v="19"/>
    <x v="1"/>
    <x v="1"/>
    <s v="Pago"/>
  </r>
  <r>
    <x v="13"/>
    <x v="0"/>
    <x v="2"/>
    <s v="Débito"/>
    <n v="6.26"/>
    <d v="2024-02-08T00:00:00"/>
    <x v="25"/>
    <x v="1"/>
    <x v="1"/>
    <s v="Pago"/>
  </r>
  <r>
    <x v="42"/>
    <x v="0"/>
    <x v="3"/>
    <s v="Hipercard Crédito"/>
    <n v="16.5"/>
    <d v="2024-02-08T00:00:00"/>
    <x v="25"/>
    <x v="0"/>
    <x v="1"/>
    <s v="Pago"/>
  </r>
  <r>
    <x v="58"/>
    <x v="0"/>
    <x v="8"/>
    <s v="Débito"/>
    <n v="450"/>
    <d v="2024-02-08T00:00:00"/>
    <x v="25"/>
    <x v="0"/>
    <x v="1"/>
    <s v="Pago"/>
  </r>
  <r>
    <x v="6"/>
    <x v="0"/>
    <x v="4"/>
    <s v="Pix"/>
    <n v="950"/>
    <d v="2024-02-08T00:00:00"/>
    <x v="25"/>
    <x v="0"/>
    <x v="1"/>
    <s v="Pago"/>
  </r>
  <r>
    <x v="59"/>
    <x v="0"/>
    <x v="5"/>
    <s v="Pix"/>
    <n v="16.36"/>
    <d v="2024-02-08T00:00:00"/>
    <x v="25"/>
    <x v="1"/>
    <x v="1"/>
    <s v="Pago"/>
  </r>
  <r>
    <x v="13"/>
    <x v="0"/>
    <x v="2"/>
    <s v="Débito"/>
    <n v="17.96"/>
    <d v="2024-02-09T00:00:00"/>
    <x v="26"/>
    <x v="1"/>
    <x v="1"/>
    <s v="Pago"/>
  </r>
  <r>
    <x v="42"/>
    <x v="0"/>
    <x v="3"/>
    <s v="Next"/>
    <n v="19.12"/>
    <d v="2024-02-09T00:00:00"/>
    <x v="26"/>
    <x v="0"/>
    <x v="1"/>
    <s v="Pago"/>
  </r>
  <r>
    <x v="1"/>
    <x v="0"/>
    <x v="1"/>
    <s v="Débito"/>
    <n v="116.86"/>
    <d v="2024-02-10T00:00:00"/>
    <x v="27"/>
    <x v="0"/>
    <x v="1"/>
    <s v="Pago"/>
  </r>
  <r>
    <x v="60"/>
    <x v="0"/>
    <x v="5"/>
    <s v="Débito"/>
    <n v="15"/>
    <d v="2024-02-10T00:00:00"/>
    <x v="27"/>
    <x v="1"/>
    <x v="1"/>
    <s v="Pago"/>
  </r>
  <r>
    <x v="61"/>
    <x v="0"/>
    <x v="4"/>
    <s v="Débito"/>
    <n v="130"/>
    <d v="2024-02-08T00:00:00"/>
    <x v="25"/>
    <x v="0"/>
    <x v="1"/>
    <s v="Pago"/>
  </r>
  <r>
    <x v="62"/>
    <x v="0"/>
    <x v="4"/>
    <s v="Débito"/>
    <n v="242"/>
    <d v="2024-02-08T00:00:00"/>
    <x v="25"/>
    <x v="0"/>
    <x v="1"/>
    <s v="Pago"/>
  </r>
  <r>
    <x v="25"/>
    <x v="0"/>
    <x v="4"/>
    <s v="Débito"/>
    <n v="112"/>
    <d v="2024-02-08T00:00:00"/>
    <x v="25"/>
    <x v="0"/>
    <x v="1"/>
    <s v="Pago"/>
  </r>
  <r>
    <x v="63"/>
    <x v="2"/>
    <x v="9"/>
    <s v="Débito"/>
    <n v="500"/>
    <d v="2024-02-08T00:00:00"/>
    <x v="25"/>
    <x v="3"/>
    <x v="1"/>
    <s v="Pago"/>
  </r>
  <r>
    <x v="64"/>
    <x v="0"/>
    <x v="2"/>
    <s v="Débito"/>
    <n v="12"/>
    <d v="2024-02-09T00:00:00"/>
    <x v="26"/>
    <x v="1"/>
    <x v="1"/>
    <s v="Pago"/>
  </r>
  <r>
    <x v="65"/>
    <x v="0"/>
    <x v="2"/>
    <s v="C6 Crédito"/>
    <n v="59.9"/>
    <d v="2024-02-10T00:00:00"/>
    <x v="28"/>
    <x v="1"/>
    <x v="2"/>
    <s v="Pago"/>
  </r>
  <r>
    <x v="66"/>
    <x v="0"/>
    <x v="1"/>
    <s v="C6 Crédito"/>
    <n v="17.8"/>
    <d v="2024-02-10T00:00:00"/>
    <x v="28"/>
    <x v="0"/>
    <x v="2"/>
    <s v="Pago"/>
  </r>
  <r>
    <x v="67"/>
    <x v="0"/>
    <x v="5"/>
    <s v="Hipercard Crédito"/>
    <n v="120.89"/>
    <d v="2024-02-10T00:00:00"/>
    <x v="28"/>
    <x v="1"/>
    <x v="2"/>
    <s v="Pago"/>
  </r>
  <r>
    <x v="42"/>
    <x v="0"/>
    <x v="3"/>
    <s v="Next"/>
    <n v="16.239999999999998"/>
    <d v="2024-02-14T00:00:00"/>
    <x v="29"/>
    <x v="0"/>
    <x v="1"/>
    <s v="Pago"/>
  </r>
  <r>
    <x v="68"/>
    <x v="0"/>
    <x v="2"/>
    <s v="Débito"/>
    <n v="55"/>
    <d v="2024-02-14T00:00:00"/>
    <x v="29"/>
    <x v="1"/>
    <x v="1"/>
    <s v="Pago"/>
  </r>
  <r>
    <x v="13"/>
    <x v="0"/>
    <x v="2"/>
    <s v="Débito"/>
    <n v="27"/>
    <d v="2024-02-14T00:00:00"/>
    <x v="29"/>
    <x v="1"/>
    <x v="1"/>
    <s v="Pago"/>
  </r>
  <r>
    <x v="42"/>
    <x v="0"/>
    <x v="3"/>
    <s v="Next"/>
    <n v="24.77"/>
    <d v="2024-02-14T00:00:00"/>
    <x v="29"/>
    <x v="0"/>
    <x v="1"/>
    <s v="Pago"/>
  </r>
  <r>
    <x v="42"/>
    <x v="0"/>
    <x v="3"/>
    <s v="Next"/>
    <n v="10.9"/>
    <d v="2024-02-14T00:00:00"/>
    <x v="29"/>
    <x v="0"/>
    <x v="1"/>
    <s v="Pago"/>
  </r>
  <r>
    <x v="42"/>
    <x v="0"/>
    <x v="3"/>
    <s v="Next"/>
    <n v="11.7"/>
    <d v="2024-02-14T00:00:00"/>
    <x v="29"/>
    <x v="0"/>
    <x v="1"/>
    <s v="Pago"/>
  </r>
  <r>
    <x v="42"/>
    <x v="0"/>
    <x v="3"/>
    <s v="Next"/>
    <n v="13"/>
    <d v="2024-02-14T00:00:00"/>
    <x v="29"/>
    <x v="0"/>
    <x v="1"/>
    <s v="Pago"/>
  </r>
  <r>
    <x v="1"/>
    <x v="0"/>
    <x v="1"/>
    <s v="Débito"/>
    <n v="116.86"/>
    <d v="2024-02-14T00:00:00"/>
    <x v="29"/>
    <x v="0"/>
    <x v="1"/>
    <s v="Pago"/>
  </r>
  <r>
    <x v="66"/>
    <x v="0"/>
    <x v="1"/>
    <s v="Débito"/>
    <n v="18"/>
    <d v="2024-02-14T00:00:00"/>
    <x v="29"/>
    <x v="0"/>
    <x v="1"/>
    <s v="Pago"/>
  </r>
  <r>
    <x v="69"/>
    <x v="1"/>
    <x v="6"/>
    <s v="Next"/>
    <n v="7218"/>
    <d v="2024-02-15T00:00:00"/>
    <x v="30"/>
    <x v="2"/>
    <x v="1"/>
    <s v="Recebido"/>
  </r>
  <r>
    <x v="62"/>
    <x v="0"/>
    <x v="4"/>
    <s v="Débito"/>
    <n v="223"/>
    <d v="2024-02-15T00:00:00"/>
    <x v="30"/>
    <x v="0"/>
    <x v="1"/>
    <s v="Pago"/>
  </r>
  <r>
    <x v="42"/>
    <x v="0"/>
    <x v="3"/>
    <s v="Débito"/>
    <n v="17.32"/>
    <d v="2024-02-15T00:00:00"/>
    <x v="30"/>
    <x v="0"/>
    <x v="1"/>
    <s v="Pago"/>
  </r>
  <r>
    <x v="0"/>
    <x v="0"/>
    <x v="0"/>
    <s v="Débito"/>
    <n v="10.35"/>
    <d v="2024-02-15T00:00:00"/>
    <x v="30"/>
    <x v="0"/>
    <x v="1"/>
    <s v="Pago"/>
  </r>
  <r>
    <x v="13"/>
    <x v="0"/>
    <x v="2"/>
    <s v="Débito"/>
    <n v="14.97"/>
    <d v="2024-02-15T00:00:00"/>
    <x v="30"/>
    <x v="1"/>
    <x v="1"/>
    <s v="Pago"/>
  </r>
  <r>
    <x v="42"/>
    <x v="0"/>
    <x v="3"/>
    <s v="Débito"/>
    <n v="20.28"/>
    <d v="2024-02-15T00:00:00"/>
    <x v="30"/>
    <x v="0"/>
    <x v="1"/>
    <s v="Pago"/>
  </r>
  <r>
    <x v="63"/>
    <x v="2"/>
    <x v="9"/>
    <s v="Débito"/>
    <n v="5818"/>
    <d v="2024-02-15T00:00:00"/>
    <x v="30"/>
    <x v="3"/>
    <x v="1"/>
    <s v="Pago"/>
  </r>
  <r>
    <x v="42"/>
    <x v="0"/>
    <x v="3"/>
    <s v="Débito"/>
    <n v="18.100000000000001"/>
    <d v="2024-02-16T00:00:00"/>
    <x v="31"/>
    <x v="0"/>
    <x v="1"/>
    <s v="Pago"/>
  </r>
  <r>
    <x v="70"/>
    <x v="1"/>
    <x v="2"/>
    <s v="Débito"/>
    <n v="95"/>
    <d v="2024-02-16T00:00:00"/>
    <x v="31"/>
    <x v="1"/>
    <x v="1"/>
    <s v="Recebido"/>
  </r>
  <r>
    <x v="1"/>
    <x v="0"/>
    <x v="1"/>
    <s v="Débito"/>
    <n v="255"/>
    <d v="2024-02-19T00:00:00"/>
    <x v="20"/>
    <x v="0"/>
    <x v="1"/>
    <s v="Pago"/>
  </r>
  <r>
    <x v="71"/>
    <x v="0"/>
    <x v="5"/>
    <s v="Débito"/>
    <n v="23"/>
    <d v="2024-02-19T00:00:00"/>
    <x v="20"/>
    <x v="1"/>
    <x v="1"/>
    <s v="Pago"/>
  </r>
  <r>
    <x v="72"/>
    <x v="0"/>
    <x v="3"/>
    <s v="Débito"/>
    <n v="9.9600000000000009"/>
    <d v="2024-02-19T00:00:00"/>
    <x v="20"/>
    <x v="0"/>
    <x v="1"/>
    <s v="Pago"/>
  </r>
  <r>
    <x v="73"/>
    <x v="0"/>
    <x v="5"/>
    <s v="Débito"/>
    <n v="89"/>
    <d v="2024-02-19T00:00:00"/>
    <x v="20"/>
    <x v="1"/>
    <x v="1"/>
    <s v="Pago"/>
  </r>
  <r>
    <x v="42"/>
    <x v="0"/>
    <x v="3"/>
    <s v="Débito"/>
    <n v="12.3"/>
    <d v="2024-02-19T00:00:00"/>
    <x v="20"/>
    <x v="0"/>
    <x v="1"/>
    <s v="Pago"/>
  </r>
  <r>
    <x v="42"/>
    <x v="0"/>
    <x v="3"/>
    <s v="Débito"/>
    <n v="11.5"/>
    <d v="2024-02-19T00:00:00"/>
    <x v="20"/>
    <x v="0"/>
    <x v="1"/>
    <s v="Pago"/>
  </r>
  <r>
    <x v="42"/>
    <x v="0"/>
    <x v="3"/>
    <s v="Débito"/>
    <n v="16.7"/>
    <d v="2024-02-19T00:00:00"/>
    <x v="20"/>
    <x v="0"/>
    <x v="1"/>
    <s v="Pago"/>
  </r>
  <r>
    <x v="72"/>
    <x v="0"/>
    <x v="3"/>
    <s v="Débito"/>
    <n v="9.98"/>
    <d v="2024-02-19T00:00:00"/>
    <x v="20"/>
    <x v="0"/>
    <x v="1"/>
    <s v="Pago"/>
  </r>
  <r>
    <x v="74"/>
    <x v="0"/>
    <x v="5"/>
    <s v="Débito"/>
    <n v="49.9"/>
    <d v="2024-02-19T00:00:00"/>
    <x v="20"/>
    <x v="1"/>
    <x v="1"/>
    <s v="Pago"/>
  </r>
  <r>
    <x v="75"/>
    <x v="0"/>
    <x v="5"/>
    <s v="Débito"/>
    <n v="30"/>
    <d v="2024-02-19T00:00:00"/>
    <x v="20"/>
    <x v="1"/>
    <x v="1"/>
    <s v="Pago"/>
  </r>
  <r>
    <x v="76"/>
    <x v="0"/>
    <x v="5"/>
    <s v="Pix"/>
    <n v="10"/>
    <d v="2024-02-19T00:00:00"/>
    <x v="20"/>
    <x v="1"/>
    <x v="1"/>
    <s v="Pago"/>
  </r>
  <r>
    <x v="42"/>
    <x v="0"/>
    <x v="3"/>
    <s v="Débito"/>
    <n v="12"/>
    <d v="2024-02-20T00:00:00"/>
    <x v="32"/>
    <x v="0"/>
    <x v="1"/>
    <s v="Pago"/>
  </r>
  <r>
    <x v="42"/>
    <x v="0"/>
    <x v="3"/>
    <s v="Débito"/>
    <n v="15"/>
    <d v="2024-02-20T00:00:00"/>
    <x v="32"/>
    <x v="0"/>
    <x v="1"/>
    <s v="Pago"/>
  </r>
  <r>
    <x v="77"/>
    <x v="0"/>
    <x v="5"/>
    <s v="Débito"/>
    <n v="17.8"/>
    <d v="2024-02-20T00:00:00"/>
    <x v="32"/>
    <x v="1"/>
    <x v="1"/>
    <s v="Pago"/>
  </r>
  <r>
    <x v="35"/>
    <x v="0"/>
    <x v="5"/>
    <s v="Débito"/>
    <n v="19.899999999999999"/>
    <d v="2024-02-20T00:00:00"/>
    <x v="32"/>
    <x v="1"/>
    <x v="1"/>
    <s v="Pago"/>
  </r>
  <r>
    <x v="63"/>
    <x v="2"/>
    <x v="9"/>
    <s v="Débito"/>
    <n v="100"/>
    <d v="2024-02-21T00:00:00"/>
    <x v="33"/>
    <x v="3"/>
    <x v="1"/>
    <s v="Pago"/>
  </r>
  <r>
    <x v="78"/>
    <x v="0"/>
    <x v="7"/>
    <s v="Débito"/>
    <n v="150"/>
    <d v="2024-02-23T00:00:00"/>
    <x v="34"/>
    <x v="1"/>
    <x v="1"/>
    <s v="Pago"/>
  </r>
  <r>
    <x v="79"/>
    <x v="0"/>
    <x v="8"/>
    <s v="Débito"/>
    <n v="413.75"/>
    <d v="2024-02-23T00:00:00"/>
    <x v="34"/>
    <x v="0"/>
    <x v="1"/>
    <s v="Pago"/>
  </r>
  <r>
    <x v="63"/>
    <x v="2"/>
    <x v="9"/>
    <s v="Débito"/>
    <n v="220"/>
    <d v="2024-02-23T00:00:00"/>
    <x v="34"/>
    <x v="3"/>
    <x v="1"/>
    <s v="Pago"/>
  </r>
  <r>
    <x v="80"/>
    <x v="1"/>
    <x v="6"/>
    <s v="Next"/>
    <n v="1092.6500000000001"/>
    <d v="2024-02-23T00:00:00"/>
    <x v="34"/>
    <x v="2"/>
    <x v="1"/>
    <s v="Recebido"/>
  </r>
  <r>
    <x v="42"/>
    <x v="0"/>
    <x v="3"/>
    <s v="Débito"/>
    <n v="19.41"/>
    <d v="2024-02-23T00:00:00"/>
    <x v="34"/>
    <x v="0"/>
    <x v="1"/>
    <s v="Pago"/>
  </r>
  <r>
    <x v="42"/>
    <x v="0"/>
    <x v="3"/>
    <s v="Débito"/>
    <n v="16.2"/>
    <d v="2024-02-23T00:00:00"/>
    <x v="34"/>
    <x v="0"/>
    <x v="1"/>
    <s v="Pago"/>
  </r>
  <r>
    <x v="81"/>
    <x v="0"/>
    <x v="2"/>
    <s v="Débito"/>
    <n v="14"/>
    <d v="2024-02-23T00:00:00"/>
    <x v="34"/>
    <x v="1"/>
    <x v="1"/>
    <s v="Pago"/>
  </r>
  <r>
    <x v="46"/>
    <x v="0"/>
    <x v="2"/>
    <s v="Débito"/>
    <n v="5"/>
    <d v="2024-02-23T00:00:00"/>
    <x v="34"/>
    <x v="1"/>
    <x v="1"/>
    <s v="Pago"/>
  </r>
  <r>
    <x v="82"/>
    <x v="0"/>
    <x v="2"/>
    <s v="Débito"/>
    <n v="13.5"/>
    <d v="2024-02-23T00:00:00"/>
    <x v="34"/>
    <x v="1"/>
    <x v="1"/>
    <s v="Pago"/>
  </r>
  <r>
    <x v="39"/>
    <x v="0"/>
    <x v="8"/>
    <s v="Débito"/>
    <n v="251"/>
    <d v="2024-02-24T00:00:00"/>
    <x v="35"/>
    <x v="0"/>
    <x v="1"/>
    <s v="Pago"/>
  </r>
  <r>
    <x v="35"/>
    <x v="0"/>
    <x v="5"/>
    <s v="Débito"/>
    <n v="57"/>
    <d v="2024-02-24T00:00:00"/>
    <x v="35"/>
    <x v="1"/>
    <x v="1"/>
    <s v="Pago"/>
  </r>
  <r>
    <x v="42"/>
    <x v="0"/>
    <x v="3"/>
    <s v="Débito"/>
    <n v="10"/>
    <d v="2024-02-25T00:00:00"/>
    <x v="36"/>
    <x v="0"/>
    <x v="1"/>
    <s v="Pago"/>
  </r>
  <r>
    <x v="42"/>
    <x v="0"/>
    <x v="3"/>
    <s v="Débito"/>
    <n v="17"/>
    <d v="2024-02-25T00:00:00"/>
    <x v="36"/>
    <x v="0"/>
    <x v="1"/>
    <s v="Pago"/>
  </r>
  <r>
    <x v="13"/>
    <x v="0"/>
    <x v="2"/>
    <s v="Débito"/>
    <n v="9.98"/>
    <d v="2024-02-26T00:00:00"/>
    <x v="37"/>
    <x v="1"/>
    <x v="1"/>
    <s v="Pago"/>
  </r>
  <r>
    <x v="42"/>
    <x v="0"/>
    <x v="3"/>
    <s v="Débito"/>
    <n v="10.53"/>
    <d v="2024-02-26T00:00:00"/>
    <x v="37"/>
    <x v="0"/>
    <x v="1"/>
    <s v="Pago"/>
  </r>
  <r>
    <x v="42"/>
    <x v="0"/>
    <x v="3"/>
    <s v="Débito"/>
    <n v="17.8"/>
    <d v="2024-02-26T00:00:00"/>
    <x v="37"/>
    <x v="0"/>
    <x v="1"/>
    <s v="Pago"/>
  </r>
  <r>
    <x v="42"/>
    <x v="0"/>
    <x v="3"/>
    <s v="Débito"/>
    <n v="15"/>
    <d v="2024-02-26T00:00:00"/>
    <x v="37"/>
    <x v="0"/>
    <x v="1"/>
    <s v="Pago"/>
  </r>
  <r>
    <x v="42"/>
    <x v="0"/>
    <x v="3"/>
    <s v="Débito"/>
    <n v="12"/>
    <d v="2024-02-26T00:00:00"/>
    <x v="37"/>
    <x v="0"/>
    <x v="1"/>
    <s v="Pago"/>
  </r>
  <r>
    <x v="83"/>
    <x v="0"/>
    <x v="2"/>
    <s v="Débito"/>
    <n v="57.98"/>
    <d v="2024-02-26T00:00:00"/>
    <x v="37"/>
    <x v="1"/>
    <x v="1"/>
    <s v="Pago"/>
  </r>
  <r>
    <x v="42"/>
    <x v="0"/>
    <x v="3"/>
    <s v="Débito"/>
    <n v="11.7"/>
    <d v="2024-02-27T00:00:00"/>
    <x v="38"/>
    <x v="0"/>
    <x v="1"/>
    <s v="Pago"/>
  </r>
  <r>
    <x v="7"/>
    <x v="0"/>
    <x v="1"/>
    <s v="Débito"/>
    <n v="58.57"/>
    <d v="2024-02-27T00:00:00"/>
    <x v="38"/>
    <x v="0"/>
    <x v="1"/>
    <s v="Pago"/>
  </r>
  <r>
    <x v="42"/>
    <x v="0"/>
    <x v="3"/>
    <s v="Débito"/>
    <n v="9.27"/>
    <d v="2024-02-27T00:00:00"/>
    <x v="38"/>
    <x v="0"/>
    <x v="1"/>
    <s v="Pago"/>
  </r>
  <r>
    <x v="42"/>
    <x v="0"/>
    <x v="3"/>
    <s v="Débito"/>
    <n v="6.9329999999999998"/>
    <d v="2024-02-27T00:00:00"/>
    <x v="38"/>
    <x v="0"/>
    <x v="1"/>
    <s v="Pago"/>
  </r>
  <r>
    <x v="42"/>
    <x v="0"/>
    <x v="3"/>
    <s v="Débito"/>
    <n v="16.329999999999998"/>
    <d v="2024-02-28T00:00:00"/>
    <x v="39"/>
    <x v="0"/>
    <x v="1"/>
    <s v="Pago"/>
  </r>
  <r>
    <x v="42"/>
    <x v="0"/>
    <x v="3"/>
    <s v="Débito"/>
    <n v="14.803000000000001"/>
    <d v="2024-02-28T00:00:00"/>
    <x v="39"/>
    <x v="0"/>
    <x v="1"/>
    <s v="Pago"/>
  </r>
  <r>
    <x v="84"/>
    <x v="0"/>
    <x v="0"/>
    <s v="Débito"/>
    <n v="10.35"/>
    <d v="2024-02-28T00:00:00"/>
    <x v="39"/>
    <x v="0"/>
    <x v="1"/>
    <s v="Pago"/>
  </r>
  <r>
    <x v="42"/>
    <x v="0"/>
    <x v="3"/>
    <s v="Débito"/>
    <n v="17.73"/>
    <d v="2024-02-28T00:00:00"/>
    <x v="39"/>
    <x v="0"/>
    <x v="1"/>
    <s v="Pago"/>
  </r>
  <r>
    <x v="42"/>
    <x v="0"/>
    <x v="3"/>
    <s v="Débito"/>
    <n v="18.22"/>
    <d v="2024-02-28T00:00:00"/>
    <x v="39"/>
    <x v="0"/>
    <x v="1"/>
    <s v="Pago"/>
  </r>
  <r>
    <x v="42"/>
    <x v="0"/>
    <x v="3"/>
    <s v="Débito"/>
    <n v="18.34"/>
    <d v="2024-03-01T00:00:00"/>
    <x v="40"/>
    <x v="0"/>
    <x v="2"/>
    <s v="Pago"/>
  </r>
  <r>
    <x v="42"/>
    <x v="0"/>
    <x v="3"/>
    <s v="Débito"/>
    <n v="9.1"/>
    <d v="2024-03-01T00:00:00"/>
    <x v="40"/>
    <x v="0"/>
    <x v="2"/>
    <s v="Pago"/>
  </r>
  <r>
    <x v="85"/>
    <x v="0"/>
    <x v="1"/>
    <s v="Débito"/>
    <n v="5"/>
    <d v="2024-03-01T00:00:00"/>
    <x v="40"/>
    <x v="0"/>
    <x v="2"/>
    <s v="Pago"/>
  </r>
  <r>
    <x v="13"/>
    <x v="0"/>
    <x v="2"/>
    <s v="Débito"/>
    <n v="14.97"/>
    <d v="2024-03-01T00:00:00"/>
    <x v="40"/>
    <x v="1"/>
    <x v="2"/>
    <s v="Pago"/>
  </r>
  <r>
    <x v="42"/>
    <x v="0"/>
    <x v="3"/>
    <s v="Débito"/>
    <n v="15"/>
    <d v="2024-03-05T00:00:00"/>
    <x v="41"/>
    <x v="0"/>
    <x v="2"/>
    <s v="Pago"/>
  </r>
  <r>
    <x v="86"/>
    <x v="0"/>
    <x v="1"/>
    <s v="Débito"/>
    <n v="10.4"/>
    <d v="2024-03-05T00:00:00"/>
    <x v="41"/>
    <x v="0"/>
    <x v="2"/>
    <s v="Pago"/>
  </r>
  <r>
    <x v="42"/>
    <x v="0"/>
    <x v="3"/>
    <s v="Débito"/>
    <n v="12.2"/>
    <d v="2024-03-06T00:00:00"/>
    <x v="42"/>
    <x v="0"/>
    <x v="2"/>
    <s v="Pago"/>
  </r>
  <r>
    <x v="52"/>
    <x v="0"/>
    <x v="8"/>
    <s v="Hipercard Crédito"/>
    <n v="29.9"/>
    <d v="2024-02-10T00:00:00"/>
    <x v="42"/>
    <x v="0"/>
    <x v="2"/>
    <s v="Pago"/>
  </r>
  <r>
    <x v="87"/>
    <x v="0"/>
    <x v="8"/>
    <s v="Hipercard Crédito"/>
    <n v="29.9"/>
    <d v="2024-02-10T00:00:00"/>
    <x v="42"/>
    <x v="0"/>
    <x v="2"/>
    <s v="Pago"/>
  </r>
  <r>
    <x v="53"/>
    <x v="0"/>
    <x v="7"/>
    <s v="Hipercard Crédito"/>
    <n v="146.34"/>
    <d v="2024-02-10T00:00:00"/>
    <x v="42"/>
    <x v="1"/>
    <x v="2"/>
    <s v="Pago"/>
  </r>
  <r>
    <x v="54"/>
    <x v="0"/>
    <x v="5"/>
    <s v="Hipercard Crédito"/>
    <n v="34.9"/>
    <d v="2024-02-10T00:00:00"/>
    <x v="42"/>
    <x v="1"/>
    <x v="2"/>
    <s v="Pago"/>
  </r>
  <r>
    <x v="88"/>
    <x v="0"/>
    <x v="2"/>
    <s v="Hipercard Crédito"/>
    <n v="37.880000000000003"/>
    <d v="2024-02-10T00:00:00"/>
    <x v="42"/>
    <x v="1"/>
    <x v="2"/>
    <s v="Pago"/>
  </r>
  <r>
    <x v="55"/>
    <x v="0"/>
    <x v="5"/>
    <s v="Hipercard Crédito"/>
    <n v="22.4"/>
    <d v="2024-02-10T00:00:00"/>
    <x v="42"/>
    <x v="1"/>
    <x v="2"/>
    <s v="Pago"/>
  </r>
  <r>
    <x v="42"/>
    <x v="0"/>
    <x v="3"/>
    <s v="Hipercard Crédito"/>
    <n v="13"/>
    <d v="2024-02-10T00:00:00"/>
    <x v="42"/>
    <x v="0"/>
    <x v="2"/>
    <s v="Pago"/>
  </r>
  <r>
    <x v="42"/>
    <x v="0"/>
    <x v="3"/>
    <s v="Hipercard Crédito"/>
    <n v="12.1"/>
    <d v="2024-02-10T00:00:00"/>
    <x v="42"/>
    <x v="0"/>
    <x v="2"/>
    <s v="Pago"/>
  </r>
  <r>
    <x v="42"/>
    <x v="0"/>
    <x v="3"/>
    <s v="Hipercard Crédito"/>
    <n v="11.7"/>
    <d v="2024-02-10T00:00:00"/>
    <x v="42"/>
    <x v="0"/>
    <x v="2"/>
    <s v="Pago"/>
  </r>
  <r>
    <x v="42"/>
    <x v="0"/>
    <x v="3"/>
    <s v="Hipercard Crédito"/>
    <n v="13"/>
    <d v="2024-02-10T00:00:00"/>
    <x v="42"/>
    <x v="0"/>
    <x v="2"/>
    <s v="Pago"/>
  </r>
  <r>
    <x v="42"/>
    <x v="0"/>
    <x v="3"/>
    <s v="Hipercard Crédito"/>
    <n v="12.9"/>
    <d v="2024-02-10T00:00:00"/>
    <x v="42"/>
    <x v="0"/>
    <x v="2"/>
    <s v="Pago"/>
  </r>
  <r>
    <x v="42"/>
    <x v="0"/>
    <x v="3"/>
    <s v="Hipercard Crédito"/>
    <n v="23.7"/>
    <d v="2024-02-10T00:00:00"/>
    <x v="42"/>
    <x v="0"/>
    <x v="2"/>
    <s v="Pago"/>
  </r>
  <r>
    <x v="42"/>
    <x v="0"/>
    <x v="3"/>
    <s v="Hipercard Crédito"/>
    <n v="18.47"/>
    <d v="2024-02-10T00:00:00"/>
    <x v="42"/>
    <x v="0"/>
    <x v="2"/>
    <s v="Pago"/>
  </r>
  <r>
    <x v="42"/>
    <x v="0"/>
    <x v="3"/>
    <s v="Hipercard Crédito"/>
    <n v="16.100000000000001"/>
    <d v="2024-02-10T00:00:00"/>
    <x v="42"/>
    <x v="0"/>
    <x v="2"/>
    <s v="Pago"/>
  </r>
  <r>
    <x v="89"/>
    <x v="0"/>
    <x v="8"/>
    <s v="C6 Crédito"/>
    <n v="83.12"/>
    <d v="2024-02-10T00:00:00"/>
    <x v="42"/>
    <x v="0"/>
    <x v="2"/>
    <s v="Pago"/>
  </r>
  <r>
    <x v="90"/>
    <x v="0"/>
    <x v="2"/>
    <s v="C6 Crédito"/>
    <n v="79.900000000000006"/>
    <d v="2024-02-10T00:00:00"/>
    <x v="42"/>
    <x v="1"/>
    <x v="2"/>
    <s v="Pago"/>
  </r>
  <r>
    <x v="91"/>
    <x v="0"/>
    <x v="8"/>
    <s v="C6 Crédito"/>
    <n v="59.9"/>
    <d v="2024-02-10T00:00:00"/>
    <x v="42"/>
    <x v="0"/>
    <x v="2"/>
    <s v="Pago"/>
  </r>
  <r>
    <x v="92"/>
    <x v="0"/>
    <x v="5"/>
    <s v="C6 Crédito"/>
    <n v="326"/>
    <d v="2024-02-10T00:00:00"/>
    <x v="42"/>
    <x v="1"/>
    <x v="2"/>
    <s v="Pago"/>
  </r>
  <r>
    <x v="93"/>
    <x v="0"/>
    <x v="1"/>
    <s v="Débito"/>
    <n v="14"/>
    <d v="2024-03-06T00:00:00"/>
    <x v="42"/>
    <x v="0"/>
    <x v="2"/>
    <s v="Pago"/>
  </r>
  <r>
    <x v="42"/>
    <x v="0"/>
    <x v="3"/>
    <s v="Débito"/>
    <n v="16"/>
    <d v="2024-03-06T00:00:00"/>
    <x v="42"/>
    <x v="0"/>
    <x v="2"/>
    <s v="Pago"/>
  </r>
  <r>
    <x v="94"/>
    <x v="0"/>
    <x v="1"/>
    <s v="Débito"/>
    <n v="5"/>
    <d v="2024-03-06T00:00:00"/>
    <x v="42"/>
    <x v="0"/>
    <x v="2"/>
    <s v="Pago"/>
  </r>
  <r>
    <x v="95"/>
    <x v="0"/>
    <x v="8"/>
    <s v="Débito"/>
    <n v="450"/>
    <d v="2024-03-06T00:00:00"/>
    <x v="42"/>
    <x v="0"/>
    <x v="2"/>
    <s v="Pago"/>
  </r>
  <r>
    <x v="10"/>
    <x v="0"/>
    <x v="5"/>
    <s v="Débito"/>
    <n v="90.89"/>
    <d v="2024-03-06T00:00:00"/>
    <x v="42"/>
    <x v="1"/>
    <x v="2"/>
    <s v="Pago"/>
  </r>
  <r>
    <x v="96"/>
    <x v="1"/>
    <x v="6"/>
    <s v="Next"/>
    <n v="2870.59"/>
    <d v="2024-03-06T00:00:00"/>
    <x v="42"/>
    <x v="2"/>
    <x v="2"/>
    <s v="Recebido"/>
  </r>
  <r>
    <x v="42"/>
    <x v="0"/>
    <x v="3"/>
    <s v="Débito"/>
    <n v="15.71"/>
    <d v="2024-03-07T00:00:00"/>
    <x v="43"/>
    <x v="0"/>
    <x v="2"/>
    <s v="Pago"/>
  </r>
  <r>
    <x v="42"/>
    <x v="0"/>
    <x v="3"/>
    <s v="Débito"/>
    <n v="15"/>
    <d v="2024-03-07T00:00:00"/>
    <x v="43"/>
    <x v="0"/>
    <x v="2"/>
    <s v="Pago"/>
  </r>
  <r>
    <x v="13"/>
    <x v="0"/>
    <x v="1"/>
    <s v="Débito"/>
    <n v="13.99"/>
    <d v="2024-03-07T00:00:00"/>
    <x v="43"/>
    <x v="0"/>
    <x v="2"/>
    <s v="Pago"/>
  </r>
  <r>
    <x v="6"/>
    <x v="0"/>
    <x v="4"/>
    <s v="Débito"/>
    <n v="950"/>
    <d v="2024-03-08T00:00:00"/>
    <x v="44"/>
    <x v="0"/>
    <x v="2"/>
    <s v="Pago"/>
  </r>
  <r>
    <x v="42"/>
    <x v="0"/>
    <x v="3"/>
    <s v="Débito"/>
    <n v="20.6"/>
    <d v="2024-03-08T00:00:00"/>
    <x v="44"/>
    <x v="0"/>
    <x v="2"/>
    <s v="Pago"/>
  </r>
  <r>
    <x v="42"/>
    <x v="0"/>
    <x v="3"/>
    <s v="Débito"/>
    <n v="21.66"/>
    <d v="2024-03-08T00:00:00"/>
    <x v="44"/>
    <x v="0"/>
    <x v="2"/>
    <s v="Pago"/>
  </r>
  <r>
    <x v="42"/>
    <x v="0"/>
    <x v="3"/>
    <s v="Débito"/>
    <n v="7.7"/>
    <d v="2024-03-08T00:00:00"/>
    <x v="44"/>
    <x v="0"/>
    <x v="2"/>
    <s v="Pago"/>
  </r>
  <r>
    <x v="13"/>
    <x v="0"/>
    <x v="1"/>
    <s v="Débito"/>
    <n v="14.98"/>
    <d v="2024-03-08T00:00:00"/>
    <x v="44"/>
    <x v="0"/>
    <x v="2"/>
    <s v="Pago"/>
  </r>
  <r>
    <x v="42"/>
    <x v="0"/>
    <x v="3"/>
    <s v="Débito"/>
    <n v="12"/>
    <d v="2024-03-11T00:00:00"/>
    <x v="45"/>
    <x v="0"/>
    <x v="2"/>
    <s v="Pago"/>
  </r>
  <r>
    <x v="35"/>
    <x v="0"/>
    <x v="5"/>
    <s v="Débito"/>
    <n v="9.99"/>
    <d v="2024-03-13T00:00:00"/>
    <x v="46"/>
    <x v="1"/>
    <x v="2"/>
    <s v="Pago"/>
  </r>
  <r>
    <x v="42"/>
    <x v="0"/>
    <x v="3"/>
    <s v="Débito"/>
    <n v="16.2"/>
    <d v="2024-03-13T00:00:00"/>
    <x v="46"/>
    <x v="0"/>
    <x v="2"/>
    <s v="Pago"/>
  </r>
  <r>
    <x v="42"/>
    <x v="0"/>
    <x v="3"/>
    <s v="Débito"/>
    <n v="20.82"/>
    <d v="2024-03-13T00:00:00"/>
    <x v="46"/>
    <x v="0"/>
    <x v="2"/>
    <s v="Pago"/>
  </r>
  <r>
    <x v="42"/>
    <x v="0"/>
    <x v="3"/>
    <s v="Débito"/>
    <n v="22.41"/>
    <d v="2024-03-13T00:00:00"/>
    <x v="46"/>
    <x v="0"/>
    <x v="2"/>
    <s v="Pago"/>
  </r>
  <r>
    <x v="54"/>
    <x v="0"/>
    <x v="5"/>
    <s v="Hipercard Crédito"/>
    <n v="34.9"/>
    <d v="2024-03-10T00:00:00"/>
    <x v="47"/>
    <x v="1"/>
    <x v="3"/>
    <s v="Pago"/>
  </r>
  <r>
    <x v="42"/>
    <x v="0"/>
    <x v="3"/>
    <s v="Hipercard Crédito"/>
    <n v="123.3"/>
    <d v="2024-03-12T00:00:00"/>
    <x v="47"/>
    <x v="0"/>
    <x v="3"/>
    <s v="Pago"/>
  </r>
  <r>
    <x v="42"/>
    <x v="0"/>
    <x v="3"/>
    <s v="Hipercard Crédito"/>
    <n v="8.5"/>
    <d v="2024-03-12T00:00:00"/>
    <x v="47"/>
    <x v="0"/>
    <x v="3"/>
    <s v="Pago"/>
  </r>
  <r>
    <x v="42"/>
    <x v="0"/>
    <x v="3"/>
    <s v="Hipercard Crédito"/>
    <n v="9.1999999999999993"/>
    <d v="2024-03-12T00:00:00"/>
    <x v="47"/>
    <x v="0"/>
    <x v="3"/>
    <s v="Pago"/>
  </r>
  <r>
    <x v="42"/>
    <x v="0"/>
    <x v="3"/>
    <s v="Hipercard Crédito"/>
    <n v="17.760000000000002"/>
    <d v="2024-03-12T00:00:00"/>
    <x v="47"/>
    <x v="0"/>
    <x v="3"/>
    <s v="Pago"/>
  </r>
  <r>
    <x v="7"/>
    <x v="0"/>
    <x v="1"/>
    <s v="Alelo"/>
    <n v="176.79"/>
    <d v="2024-03-12T00:00:00"/>
    <x v="48"/>
    <x v="0"/>
    <x v="3"/>
    <s v="Pago"/>
  </r>
  <r>
    <x v="7"/>
    <x v="0"/>
    <x v="1"/>
    <s v="Alelo"/>
    <n v="282.93"/>
    <d v="2024-03-01T00:00:00"/>
    <x v="48"/>
    <x v="0"/>
    <x v="3"/>
    <s v="Pago"/>
  </r>
  <r>
    <x v="2"/>
    <x v="0"/>
    <x v="0"/>
    <s v="Débito"/>
    <n v="13.07"/>
    <d v="2024-03-13T00:00:00"/>
    <x v="46"/>
    <x v="0"/>
    <x v="2"/>
    <s v="Pago"/>
  </r>
  <r>
    <x v="42"/>
    <x v="0"/>
    <x v="3"/>
    <s v="Débito"/>
    <n v="18.71"/>
    <d v="2024-03-14T00:00:00"/>
    <x v="49"/>
    <x v="0"/>
    <x v="2"/>
    <s v="Pago"/>
  </r>
  <r>
    <x v="42"/>
    <x v="0"/>
    <x v="3"/>
    <s v="Débito"/>
    <n v="20"/>
    <d v="2024-03-14T00:00:00"/>
    <x v="49"/>
    <x v="0"/>
    <x v="2"/>
    <s v="Pago"/>
  </r>
  <r>
    <x v="42"/>
    <x v="0"/>
    <x v="3"/>
    <s v="Débito"/>
    <n v="12.7"/>
    <d v="2024-03-15T00:00:00"/>
    <x v="50"/>
    <x v="0"/>
    <x v="2"/>
    <s v="Pago"/>
  </r>
  <r>
    <x v="42"/>
    <x v="0"/>
    <x v="3"/>
    <s v="Débito"/>
    <n v="12.9"/>
    <d v="2024-03-15T00:00:00"/>
    <x v="50"/>
    <x v="0"/>
    <x v="2"/>
    <s v="Pago"/>
  </r>
  <r>
    <x v="7"/>
    <x v="0"/>
    <x v="1"/>
    <s v="Alelo"/>
    <n v="75.180000000000007"/>
    <d v="2024-03-15T00:00:00"/>
    <x v="48"/>
    <x v="0"/>
    <x v="3"/>
    <s v="Pago"/>
  </r>
  <r>
    <x v="97"/>
    <x v="0"/>
    <x v="2"/>
    <s v="C6 Crédito"/>
    <n v="55.9"/>
    <d v="2024-03-15T00:00:00"/>
    <x v="51"/>
    <x v="1"/>
    <x v="4"/>
    <s v=""/>
  </r>
  <r>
    <x v="13"/>
    <x v="0"/>
    <x v="2"/>
    <s v="Débito"/>
    <n v="17.98"/>
    <d v="2024-03-16T00:00:00"/>
    <x v="52"/>
    <x v="1"/>
    <x v="2"/>
    <s v="Pago"/>
  </r>
  <r>
    <x v="42"/>
    <x v="0"/>
    <x v="3"/>
    <s v="Débito"/>
    <n v="18.68"/>
    <d v="2024-03-18T00:00:00"/>
    <x v="53"/>
    <x v="0"/>
    <x v="2"/>
    <s v="Pago"/>
  </r>
  <r>
    <x v="50"/>
    <x v="0"/>
    <x v="0"/>
    <s v="Hipercard Crédito"/>
    <n v="109"/>
    <d v="2024-03-16T00:00:00"/>
    <x v="47"/>
    <x v="0"/>
    <x v="3"/>
    <s v="Pago"/>
  </r>
  <r>
    <x v="98"/>
    <x v="0"/>
    <x v="2"/>
    <s v="Hipercard Crédito"/>
    <n v="19.899999999999999"/>
    <d v="2024-03-16T00:00:00"/>
    <x v="47"/>
    <x v="1"/>
    <x v="3"/>
    <s v="Pago"/>
  </r>
  <r>
    <x v="42"/>
    <x v="0"/>
    <x v="3"/>
    <s v="Hipercard Crédito"/>
    <n v="17.3"/>
    <d v="2024-03-19T00:00:00"/>
    <x v="47"/>
    <x v="0"/>
    <x v="3"/>
    <s v="Pago"/>
  </r>
  <r>
    <x v="42"/>
    <x v="0"/>
    <x v="3"/>
    <s v="Hipercard Crédito"/>
    <n v="12.15"/>
    <d v="2024-03-19T00:00:00"/>
    <x v="47"/>
    <x v="0"/>
    <x v="3"/>
    <s v="Pago"/>
  </r>
  <r>
    <x v="42"/>
    <x v="0"/>
    <x v="3"/>
    <s v="Hipercard Crédito"/>
    <n v="17.2"/>
    <d v="2024-03-19T00:00:00"/>
    <x v="47"/>
    <x v="0"/>
    <x v="3"/>
    <s v="Pago"/>
  </r>
  <r>
    <x v="42"/>
    <x v="0"/>
    <x v="3"/>
    <s v="Hipercard Crédito"/>
    <n v="9.4499999999999993"/>
    <d v="2024-03-20T00:00:00"/>
    <x v="47"/>
    <x v="0"/>
    <x v="3"/>
    <s v="Pago"/>
  </r>
  <r>
    <x v="42"/>
    <x v="0"/>
    <x v="3"/>
    <s v="Hipercard Crédito"/>
    <n v="33"/>
    <d v="2024-03-20T00:00:00"/>
    <x v="47"/>
    <x v="0"/>
    <x v="3"/>
    <s v="Pago"/>
  </r>
  <r>
    <x v="42"/>
    <x v="0"/>
    <x v="3"/>
    <s v="Hipercard Crédito"/>
    <n v="13.1"/>
    <d v="2024-03-20T00:00:00"/>
    <x v="47"/>
    <x v="0"/>
    <x v="3"/>
    <s v="Pago"/>
  </r>
  <r>
    <x v="42"/>
    <x v="0"/>
    <x v="3"/>
    <s v="Hipercard Crédito"/>
    <n v="13.98"/>
    <d v="2024-03-21T00:00:00"/>
    <x v="47"/>
    <x v="0"/>
    <x v="3"/>
    <s v="Pago"/>
  </r>
  <r>
    <x v="42"/>
    <x v="0"/>
    <x v="3"/>
    <s v="Hipercard Crédito"/>
    <n v="16.600000000000001"/>
    <d v="2024-03-21T00:00:00"/>
    <x v="47"/>
    <x v="0"/>
    <x v="3"/>
    <s v="Pago"/>
  </r>
  <r>
    <x v="42"/>
    <x v="0"/>
    <x v="3"/>
    <s v="Hipercard Crédito"/>
    <n v="16.8"/>
    <d v="2024-03-22T00:00:00"/>
    <x v="47"/>
    <x v="0"/>
    <x v="3"/>
    <s v="Pago"/>
  </r>
  <r>
    <x v="42"/>
    <x v="0"/>
    <x v="3"/>
    <s v="Hipercard Crédito"/>
    <n v="8.19"/>
    <d v="2024-03-22T00:00:00"/>
    <x v="47"/>
    <x v="0"/>
    <x v="3"/>
    <s v="Pago"/>
  </r>
  <r>
    <x v="42"/>
    <x v="0"/>
    <x v="3"/>
    <s v="Hipercard Crédito"/>
    <n v="11.9"/>
    <d v="2024-03-22T00:00:00"/>
    <x v="47"/>
    <x v="0"/>
    <x v="3"/>
    <s v="Pago"/>
  </r>
  <r>
    <x v="7"/>
    <x v="0"/>
    <x v="1"/>
    <s v="Alelo"/>
    <n v="96"/>
    <d v="2024-03-22T00:00:00"/>
    <x v="54"/>
    <x v="0"/>
    <x v="5"/>
    <s v="Pago"/>
  </r>
  <r>
    <x v="96"/>
    <x v="1"/>
    <x v="6"/>
    <s v="Next"/>
    <n v="893"/>
    <d v="2024-03-22T00:00:00"/>
    <x v="55"/>
    <x v="2"/>
    <x v="2"/>
    <s v="Recebido"/>
  </r>
  <r>
    <x v="99"/>
    <x v="0"/>
    <x v="9"/>
    <s v="Pix"/>
    <n v="150"/>
    <d v="2024-03-22T00:00:00"/>
    <x v="55"/>
    <x v="3"/>
    <x v="2"/>
    <s v="Pago"/>
  </r>
  <r>
    <x v="100"/>
    <x v="0"/>
    <x v="3"/>
    <s v="Débito"/>
    <n v="11"/>
    <d v="2024-03-25T00:00:00"/>
    <x v="56"/>
    <x v="0"/>
    <x v="2"/>
    <s v="Pago"/>
  </r>
  <r>
    <x v="101"/>
    <x v="0"/>
    <x v="2"/>
    <s v="Débito"/>
    <n v="9.5"/>
    <d v="2024-03-25T00:00:00"/>
    <x v="56"/>
    <x v="1"/>
    <x v="2"/>
    <s v="Pago"/>
  </r>
  <r>
    <x v="66"/>
    <x v="0"/>
    <x v="2"/>
    <s v="Débito"/>
    <n v="8.9"/>
    <d v="2024-03-25T00:00:00"/>
    <x v="56"/>
    <x v="1"/>
    <x v="2"/>
    <s v="Pago"/>
  </r>
  <r>
    <x v="86"/>
    <x v="0"/>
    <x v="1"/>
    <s v="Débito"/>
    <n v="18"/>
    <d v="2024-03-25T00:00:00"/>
    <x v="56"/>
    <x v="0"/>
    <x v="2"/>
    <s v="Pago"/>
  </r>
  <r>
    <x v="102"/>
    <x v="0"/>
    <x v="1"/>
    <s v="Débito"/>
    <n v="6.99"/>
    <d v="2024-03-28T00:00:00"/>
    <x v="57"/>
    <x v="0"/>
    <x v="2"/>
    <s v="Pago"/>
  </r>
  <r>
    <x v="103"/>
    <x v="0"/>
    <x v="1"/>
    <s v="Débito"/>
    <n v="31.63"/>
    <d v="2024-03-28T00:00:00"/>
    <x v="57"/>
    <x v="0"/>
    <x v="2"/>
    <s v="Pago"/>
  </r>
  <r>
    <x v="104"/>
    <x v="0"/>
    <x v="0"/>
    <s v="Débito"/>
    <n v="10.35"/>
    <d v="2024-03-28T00:00:00"/>
    <x v="57"/>
    <x v="0"/>
    <x v="2"/>
    <s v="Pago"/>
  </r>
  <r>
    <x v="42"/>
    <x v="0"/>
    <x v="3"/>
    <s v="Hipercard Crédito"/>
    <n v="13.72"/>
    <d v="2024-03-25T00:00:00"/>
    <x v="47"/>
    <x v="0"/>
    <x v="3"/>
    <s v="Pago"/>
  </r>
  <r>
    <x v="53"/>
    <x v="0"/>
    <x v="2"/>
    <s v="Hipercard Crédito"/>
    <n v="146"/>
    <d v="2024-03-27T00:00:00"/>
    <x v="47"/>
    <x v="1"/>
    <x v="3"/>
    <s v="Pago"/>
  </r>
  <r>
    <x v="42"/>
    <x v="0"/>
    <x v="3"/>
    <s v="Hipercard Crédito"/>
    <n v="12.7"/>
    <d v="2024-03-25T00:00:00"/>
    <x v="47"/>
    <x v="0"/>
    <x v="3"/>
    <s v="Pago"/>
  </r>
  <r>
    <x v="42"/>
    <x v="0"/>
    <x v="3"/>
    <s v="Hipercard Crédito"/>
    <n v="12.15"/>
    <d v="2024-03-26T00:00:00"/>
    <x v="47"/>
    <x v="0"/>
    <x v="3"/>
    <s v="Pago"/>
  </r>
  <r>
    <x v="42"/>
    <x v="0"/>
    <x v="3"/>
    <s v="Hipercard Crédito"/>
    <n v="9.9"/>
    <d v="2024-03-28T00:00:00"/>
    <x v="47"/>
    <x v="0"/>
    <x v="3"/>
    <s v="Pago"/>
  </r>
  <r>
    <x v="42"/>
    <x v="0"/>
    <x v="3"/>
    <s v="Hipercard Crédito"/>
    <n v="25.1"/>
    <d v="2024-03-28T00:00:00"/>
    <x v="47"/>
    <x v="0"/>
    <x v="3"/>
    <s v="Pago"/>
  </r>
  <r>
    <x v="105"/>
    <x v="0"/>
    <x v="2"/>
    <s v="Débito"/>
    <n v="24"/>
    <d v="2024-03-24T00:00:00"/>
    <x v="58"/>
    <x v="1"/>
    <x v="2"/>
    <s v="Pago"/>
  </r>
  <r>
    <x v="66"/>
    <x v="0"/>
    <x v="2"/>
    <s v="Débito"/>
    <n v="8.9"/>
    <d v="2024-03-24T00:00:00"/>
    <x v="58"/>
    <x v="1"/>
    <x v="2"/>
    <s v="Pago"/>
  </r>
  <r>
    <x v="106"/>
    <x v="0"/>
    <x v="2"/>
    <s v="Débito"/>
    <n v="24.18"/>
    <d v="2024-03-24T00:00:00"/>
    <x v="58"/>
    <x v="1"/>
    <x v="2"/>
    <s v="Pago"/>
  </r>
  <r>
    <x v="107"/>
    <x v="0"/>
    <x v="0"/>
    <s v="Débito"/>
    <n v="62"/>
    <d v="2024-03-24T00:00:00"/>
    <x v="58"/>
    <x v="0"/>
    <x v="2"/>
    <s v="Pago"/>
  </r>
  <r>
    <x v="96"/>
    <x v="1"/>
    <x v="6"/>
    <s v="Next"/>
    <n v="3068"/>
    <d v="2024-03-05T00:00:00"/>
    <x v="41"/>
    <x v="2"/>
    <x v="2"/>
    <s v="Recebido"/>
  </r>
  <r>
    <x v="108"/>
    <x v="0"/>
    <x v="2"/>
    <s v="Débito"/>
    <n v="17.97"/>
    <d v="2024-03-05T00:00:00"/>
    <x v="41"/>
    <x v="1"/>
    <x v="2"/>
    <s v="Pago"/>
  </r>
  <r>
    <x v="105"/>
    <x v="0"/>
    <x v="2"/>
    <s v="Débito"/>
    <n v="23"/>
    <d v="2024-03-05T00:00:00"/>
    <x v="41"/>
    <x v="1"/>
    <x v="2"/>
    <s v="Pago"/>
  </r>
  <r>
    <x v="42"/>
    <x v="0"/>
    <x v="3"/>
    <s v="Hipercard Crédito"/>
    <n v="12.6"/>
    <d v="2024-03-30T00:00:00"/>
    <x v="47"/>
    <x v="0"/>
    <x v="3"/>
    <s v="Pago"/>
  </r>
  <r>
    <x v="42"/>
    <x v="0"/>
    <x v="3"/>
    <s v="Hipercard Crédito"/>
    <n v="15.8"/>
    <d v="2024-03-30T00:00:00"/>
    <x v="47"/>
    <x v="0"/>
    <x v="3"/>
    <s v="Pago"/>
  </r>
  <r>
    <x v="42"/>
    <x v="0"/>
    <x v="3"/>
    <s v="Hipercard Crédito"/>
    <n v="12.7"/>
    <d v="2024-04-01T00:00:00"/>
    <x v="47"/>
    <x v="0"/>
    <x v="3"/>
    <s v="Pago"/>
  </r>
  <r>
    <x v="42"/>
    <x v="0"/>
    <x v="3"/>
    <s v="Hipercard Crédito"/>
    <n v="16.899999999999999"/>
    <d v="2024-04-02T00:00:00"/>
    <x v="47"/>
    <x v="0"/>
    <x v="3"/>
    <s v="Pago"/>
  </r>
  <r>
    <x v="42"/>
    <x v="0"/>
    <x v="3"/>
    <s v="Hipercard Crédito"/>
    <n v="15"/>
    <d v="2024-04-03T00:00:00"/>
    <x v="47"/>
    <x v="0"/>
    <x v="3"/>
    <s v="Pago"/>
  </r>
  <r>
    <x v="42"/>
    <x v="0"/>
    <x v="3"/>
    <s v="Hipercard Crédito"/>
    <n v="15"/>
    <d v="2024-04-04T00:00:00"/>
    <x v="51"/>
    <x v="0"/>
    <x v="4"/>
    <s v=""/>
  </r>
  <r>
    <x v="42"/>
    <x v="0"/>
    <x v="3"/>
    <s v="Hipercard Crédito"/>
    <n v="20"/>
    <d v="2024-04-05T00:00:00"/>
    <x v="51"/>
    <x v="0"/>
    <x v="4"/>
    <s v=""/>
  </r>
  <r>
    <x v="42"/>
    <x v="0"/>
    <x v="3"/>
    <s v="Hipercard Crédito"/>
    <n v="16"/>
    <d v="2024-04-05T00:00:00"/>
    <x v="51"/>
    <x v="0"/>
    <x v="4"/>
    <s v=""/>
  </r>
  <r>
    <x v="109"/>
    <x v="0"/>
    <x v="2"/>
    <s v="Pix"/>
    <n v="100"/>
    <d v="2024-04-06T00:00:00"/>
    <x v="48"/>
    <x v="1"/>
    <x v="3"/>
    <s v="Pago"/>
  </r>
  <r>
    <x v="110"/>
    <x v="0"/>
    <x v="5"/>
    <s v="Débito"/>
    <n v="69.900000000000006"/>
    <d v="2024-04-06T00:00:00"/>
    <x v="48"/>
    <x v="1"/>
    <x v="3"/>
    <s v="Pago"/>
  </r>
  <r>
    <x v="111"/>
    <x v="0"/>
    <x v="5"/>
    <s v="Débito"/>
    <n v="129"/>
    <d v="2024-04-06T00:00:00"/>
    <x v="48"/>
    <x v="1"/>
    <x v="3"/>
    <s v="Pago"/>
  </r>
  <r>
    <x v="112"/>
    <x v="0"/>
    <x v="5"/>
    <s v="Débito"/>
    <n v="249.9"/>
    <d v="2024-04-06T00:00:00"/>
    <x v="48"/>
    <x v="1"/>
    <x v="3"/>
    <s v="Pago"/>
  </r>
  <r>
    <x v="108"/>
    <x v="0"/>
    <x v="2"/>
    <s v="Pix"/>
    <n v="29.97"/>
    <d v="2024-04-06T00:00:00"/>
    <x v="48"/>
    <x v="1"/>
    <x v="3"/>
    <s v="Pago"/>
  </r>
  <r>
    <x v="108"/>
    <x v="0"/>
    <x v="2"/>
    <s v="Pix"/>
    <n v="7.99"/>
    <d v="2024-04-06T00:00:00"/>
    <x v="48"/>
    <x v="1"/>
    <x v="3"/>
    <s v="Pago"/>
  </r>
  <r>
    <x v="7"/>
    <x v="0"/>
    <x v="1"/>
    <s v="Alelo"/>
    <n v="116.05"/>
    <d v="2024-03-29T00:00:00"/>
    <x v="54"/>
    <x v="0"/>
    <x v="5"/>
    <s v="Pago"/>
  </r>
  <r>
    <x v="7"/>
    <x v="0"/>
    <x v="1"/>
    <s v="Alelo"/>
    <n v="124.59"/>
    <d v="2024-04-06T00:00:00"/>
    <x v="54"/>
    <x v="0"/>
    <x v="5"/>
    <s v="Pago"/>
  </r>
  <r>
    <x v="7"/>
    <x v="0"/>
    <x v="1"/>
    <s v="Alelo"/>
    <n v="104.42"/>
    <d v="2024-04-09T00:00:00"/>
    <x v="54"/>
    <x v="0"/>
    <x v="5"/>
    <s v="Pago"/>
  </r>
  <r>
    <x v="10"/>
    <x v="0"/>
    <x v="5"/>
    <s v="Débito"/>
    <n v="80.989999999999995"/>
    <d v="2024-04-10T00:00:00"/>
    <x v="47"/>
    <x v="1"/>
    <x v="3"/>
    <s v="Pago"/>
  </r>
  <r>
    <x v="92"/>
    <x v="0"/>
    <x v="5"/>
    <s v="C6 Crédito"/>
    <n v="326"/>
    <d v="2024-04-10T00:00:00"/>
    <x v="47"/>
    <x v="1"/>
    <x v="3"/>
    <s v="Pago"/>
  </r>
  <r>
    <x v="113"/>
    <x v="0"/>
    <x v="5"/>
    <s v="C6 Crédito"/>
    <n v="102.9"/>
    <d v="2024-04-10T00:00:00"/>
    <x v="47"/>
    <x v="1"/>
    <x v="3"/>
    <s v="Pago"/>
  </r>
  <r>
    <x v="108"/>
    <x v="0"/>
    <x v="2"/>
    <s v="C6 Crédito"/>
    <n v="12.98"/>
    <d v="2024-04-10T00:00:00"/>
    <x v="47"/>
    <x v="1"/>
    <x v="3"/>
    <s v="Pago"/>
  </r>
  <r>
    <x v="108"/>
    <x v="0"/>
    <x v="2"/>
    <s v="C6 Crédito"/>
    <n v="42.32"/>
    <d v="2024-04-10T00:00:00"/>
    <x v="47"/>
    <x v="1"/>
    <x v="3"/>
    <s v="Pago"/>
  </r>
  <r>
    <x v="113"/>
    <x v="0"/>
    <x v="5"/>
    <s v="C6 Crédito"/>
    <n v="55.9"/>
    <d v="2024-04-10T00:00:00"/>
    <x v="47"/>
    <x v="1"/>
    <x v="3"/>
    <s v="Pago"/>
  </r>
  <r>
    <x v="30"/>
    <x v="0"/>
    <x v="7"/>
    <s v="C6 Crédito"/>
    <n v="60"/>
    <d v="2024-04-10T00:00:00"/>
    <x v="47"/>
    <x v="1"/>
    <x v="3"/>
    <s v="Pago"/>
  </r>
  <r>
    <x v="89"/>
    <x v="0"/>
    <x v="8"/>
    <s v="C6 Crédito"/>
    <n v="83.08"/>
    <d v="2024-04-10T00:00:00"/>
    <x v="47"/>
    <x v="0"/>
    <x v="3"/>
    <s v="Pago"/>
  </r>
  <r>
    <x v="6"/>
    <x v="0"/>
    <x v="4"/>
    <s v="Débito"/>
    <n v="1900"/>
    <d v="2024-04-08T00:00:00"/>
    <x v="59"/>
    <x v="0"/>
    <x v="3"/>
    <s v="Pago"/>
  </r>
  <r>
    <x v="58"/>
    <x v="0"/>
    <x v="8"/>
    <s v="Débito"/>
    <n v="297"/>
    <d v="2024-04-09T00:00:00"/>
    <x v="60"/>
    <x v="0"/>
    <x v="3"/>
    <s v="Pago"/>
  </r>
  <r>
    <x v="114"/>
    <x v="3"/>
    <x v="10"/>
    <m/>
    <m/>
    <m/>
    <x v="51"/>
    <x v="4"/>
    <x v="4"/>
    <s v=""/>
  </r>
  <r>
    <x v="114"/>
    <x v="3"/>
    <x v="10"/>
    <m/>
    <m/>
    <m/>
    <x v="51"/>
    <x v="4"/>
    <x v="4"/>
    <s v=""/>
  </r>
  <r>
    <x v="114"/>
    <x v="3"/>
    <x v="10"/>
    <m/>
    <m/>
    <m/>
    <x v="51"/>
    <x v="4"/>
    <x v="4"/>
    <s v=""/>
  </r>
  <r>
    <x v="114"/>
    <x v="3"/>
    <x v="10"/>
    <m/>
    <m/>
    <m/>
    <x v="51"/>
    <x v="4"/>
    <x v="4"/>
    <s v=""/>
  </r>
  <r>
    <x v="114"/>
    <x v="3"/>
    <x v="10"/>
    <m/>
    <m/>
    <m/>
    <x v="51"/>
    <x v="4"/>
    <x v="4"/>
    <s v=""/>
  </r>
  <r>
    <x v="114"/>
    <x v="3"/>
    <x v="10"/>
    <m/>
    <m/>
    <m/>
    <x v="51"/>
    <x v="4"/>
    <x v="4"/>
    <s v=""/>
  </r>
  <r>
    <x v="114"/>
    <x v="3"/>
    <x v="10"/>
    <m/>
    <m/>
    <m/>
    <x v="51"/>
    <x v="4"/>
    <x v="4"/>
    <s v=""/>
  </r>
  <r>
    <x v="114"/>
    <x v="3"/>
    <x v="10"/>
    <m/>
    <m/>
    <m/>
    <x v="51"/>
    <x v="4"/>
    <x v="4"/>
    <s v=""/>
  </r>
  <r>
    <x v="114"/>
    <x v="3"/>
    <x v="10"/>
    <m/>
    <m/>
    <m/>
    <x v="51"/>
    <x v="4"/>
    <x v="4"/>
    <s v=""/>
  </r>
  <r>
    <x v="114"/>
    <x v="3"/>
    <x v="10"/>
    <m/>
    <m/>
    <m/>
    <x v="51"/>
    <x v="4"/>
    <x v="4"/>
    <s v=""/>
  </r>
  <r>
    <x v="114"/>
    <x v="3"/>
    <x v="10"/>
    <m/>
    <m/>
    <m/>
    <x v="51"/>
    <x v="4"/>
    <x v="4"/>
    <s v=""/>
  </r>
  <r>
    <x v="114"/>
    <x v="3"/>
    <x v="10"/>
    <m/>
    <m/>
    <m/>
    <x v="51"/>
    <x v="4"/>
    <x v="4"/>
    <s v=""/>
  </r>
  <r>
    <x v="114"/>
    <x v="3"/>
    <x v="10"/>
    <m/>
    <m/>
    <m/>
    <x v="51"/>
    <x v="4"/>
    <x v="4"/>
    <s v=""/>
  </r>
  <r>
    <x v="114"/>
    <x v="3"/>
    <x v="10"/>
    <m/>
    <m/>
    <m/>
    <x v="51"/>
    <x v="4"/>
    <x v="4"/>
    <s v=""/>
  </r>
  <r>
    <x v="114"/>
    <x v="3"/>
    <x v="10"/>
    <m/>
    <m/>
    <m/>
    <x v="51"/>
    <x v="4"/>
    <x v="4"/>
    <s v=""/>
  </r>
  <r>
    <x v="114"/>
    <x v="3"/>
    <x v="10"/>
    <m/>
    <m/>
    <m/>
    <x v="51"/>
    <x v="4"/>
    <x v="4"/>
    <s v=""/>
  </r>
  <r>
    <x v="114"/>
    <x v="3"/>
    <x v="10"/>
    <m/>
    <m/>
    <m/>
    <x v="51"/>
    <x v="4"/>
    <x v="4"/>
    <s v=""/>
  </r>
  <r>
    <x v="114"/>
    <x v="3"/>
    <x v="10"/>
    <m/>
    <m/>
    <m/>
    <x v="51"/>
    <x v="4"/>
    <x v="4"/>
    <s v=""/>
  </r>
  <r>
    <x v="114"/>
    <x v="3"/>
    <x v="10"/>
    <m/>
    <m/>
    <m/>
    <x v="51"/>
    <x v="4"/>
    <x v="4"/>
    <s v=""/>
  </r>
  <r>
    <x v="114"/>
    <x v="3"/>
    <x v="10"/>
    <m/>
    <m/>
    <m/>
    <x v="51"/>
    <x v="4"/>
    <x v="4"/>
    <s v=""/>
  </r>
  <r>
    <x v="114"/>
    <x v="3"/>
    <x v="10"/>
    <m/>
    <m/>
    <m/>
    <x v="51"/>
    <x v="4"/>
    <x v="4"/>
    <s v=""/>
  </r>
  <r>
    <x v="114"/>
    <x v="3"/>
    <x v="10"/>
    <m/>
    <m/>
    <m/>
    <x v="51"/>
    <x v="4"/>
    <x v="4"/>
    <s v=""/>
  </r>
  <r>
    <x v="114"/>
    <x v="3"/>
    <x v="10"/>
    <m/>
    <m/>
    <m/>
    <x v="51"/>
    <x v="4"/>
    <x v="4"/>
    <s v=""/>
  </r>
  <r>
    <x v="114"/>
    <x v="3"/>
    <x v="10"/>
    <m/>
    <m/>
    <m/>
    <x v="51"/>
    <x v="4"/>
    <x v="4"/>
    <s v=""/>
  </r>
  <r>
    <x v="114"/>
    <x v="3"/>
    <x v="10"/>
    <m/>
    <m/>
    <m/>
    <x v="51"/>
    <x v="4"/>
    <x v="4"/>
    <s v=""/>
  </r>
  <r>
    <x v="114"/>
    <x v="3"/>
    <x v="10"/>
    <m/>
    <m/>
    <m/>
    <x v="51"/>
    <x v="4"/>
    <x v="4"/>
    <s v=""/>
  </r>
  <r>
    <x v="114"/>
    <x v="3"/>
    <x v="10"/>
    <m/>
    <m/>
    <m/>
    <x v="51"/>
    <x v="4"/>
    <x v="4"/>
    <s v=""/>
  </r>
  <r>
    <x v="114"/>
    <x v="3"/>
    <x v="10"/>
    <m/>
    <m/>
    <m/>
    <x v="51"/>
    <x v="4"/>
    <x v="4"/>
    <s v=""/>
  </r>
  <r>
    <x v="114"/>
    <x v="3"/>
    <x v="10"/>
    <m/>
    <m/>
    <m/>
    <x v="51"/>
    <x v="4"/>
    <x v="4"/>
    <s v=""/>
  </r>
  <r>
    <x v="114"/>
    <x v="3"/>
    <x v="10"/>
    <m/>
    <m/>
    <m/>
    <x v="51"/>
    <x v="4"/>
    <x v="4"/>
    <s v=""/>
  </r>
  <r>
    <x v="114"/>
    <x v="3"/>
    <x v="10"/>
    <m/>
    <m/>
    <m/>
    <x v="51"/>
    <x v="4"/>
    <x v="4"/>
    <s v=""/>
  </r>
  <r>
    <x v="114"/>
    <x v="3"/>
    <x v="10"/>
    <m/>
    <m/>
    <m/>
    <x v="51"/>
    <x v="4"/>
    <x v="4"/>
    <s v=""/>
  </r>
  <r>
    <x v="114"/>
    <x v="3"/>
    <x v="10"/>
    <m/>
    <m/>
    <m/>
    <x v="51"/>
    <x v="4"/>
    <x v="4"/>
    <s v=""/>
  </r>
  <r>
    <x v="114"/>
    <x v="3"/>
    <x v="10"/>
    <m/>
    <m/>
    <m/>
    <x v="51"/>
    <x v="4"/>
    <x v="4"/>
    <s v=""/>
  </r>
  <r>
    <x v="114"/>
    <x v="3"/>
    <x v="10"/>
    <m/>
    <m/>
    <m/>
    <x v="51"/>
    <x v="4"/>
    <x v="4"/>
    <s v=""/>
  </r>
  <r>
    <x v="114"/>
    <x v="3"/>
    <x v="10"/>
    <m/>
    <m/>
    <m/>
    <x v="51"/>
    <x v="4"/>
    <x v="4"/>
    <s v=""/>
  </r>
  <r>
    <x v="114"/>
    <x v="3"/>
    <x v="10"/>
    <m/>
    <m/>
    <m/>
    <x v="51"/>
    <x v="4"/>
    <x v="4"/>
    <s v=""/>
  </r>
  <r>
    <x v="114"/>
    <x v="3"/>
    <x v="10"/>
    <m/>
    <m/>
    <m/>
    <x v="51"/>
    <x v="4"/>
    <x v="4"/>
    <s v=""/>
  </r>
  <r>
    <x v="114"/>
    <x v="3"/>
    <x v="10"/>
    <m/>
    <m/>
    <m/>
    <x v="51"/>
    <x v="4"/>
    <x v="4"/>
    <s v=""/>
  </r>
  <r>
    <x v="114"/>
    <x v="3"/>
    <x v="10"/>
    <m/>
    <m/>
    <m/>
    <x v="51"/>
    <x v="4"/>
    <x v="4"/>
    <s v=""/>
  </r>
  <r>
    <x v="114"/>
    <x v="3"/>
    <x v="10"/>
    <m/>
    <m/>
    <m/>
    <x v="51"/>
    <x v="4"/>
    <x v="4"/>
    <s v=""/>
  </r>
  <r>
    <x v="114"/>
    <x v="3"/>
    <x v="10"/>
    <m/>
    <m/>
    <m/>
    <x v="51"/>
    <x v="4"/>
    <x v="4"/>
    <s v=""/>
  </r>
  <r>
    <x v="114"/>
    <x v="3"/>
    <x v="10"/>
    <m/>
    <m/>
    <m/>
    <x v="51"/>
    <x v="4"/>
    <x v="4"/>
    <s v=""/>
  </r>
  <r>
    <x v="114"/>
    <x v="3"/>
    <x v="10"/>
    <m/>
    <m/>
    <m/>
    <x v="51"/>
    <x v="4"/>
    <x v="4"/>
    <s v=""/>
  </r>
  <r>
    <x v="114"/>
    <x v="3"/>
    <x v="10"/>
    <m/>
    <m/>
    <m/>
    <x v="51"/>
    <x v="4"/>
    <x v="4"/>
    <s v=""/>
  </r>
  <r>
    <x v="114"/>
    <x v="3"/>
    <x v="10"/>
    <m/>
    <m/>
    <m/>
    <x v="51"/>
    <x v="4"/>
    <x v="4"/>
    <s v=""/>
  </r>
  <r>
    <x v="114"/>
    <x v="3"/>
    <x v="10"/>
    <m/>
    <m/>
    <m/>
    <x v="51"/>
    <x v="4"/>
    <x v="4"/>
    <s v=""/>
  </r>
  <r>
    <x v="114"/>
    <x v="3"/>
    <x v="10"/>
    <m/>
    <m/>
    <m/>
    <x v="51"/>
    <x v="4"/>
    <x v="4"/>
    <s v=""/>
  </r>
  <r>
    <x v="114"/>
    <x v="3"/>
    <x v="10"/>
    <m/>
    <m/>
    <m/>
    <x v="51"/>
    <x v="4"/>
    <x v="4"/>
    <s v=""/>
  </r>
  <r>
    <x v="114"/>
    <x v="3"/>
    <x v="10"/>
    <m/>
    <m/>
    <m/>
    <x v="51"/>
    <x v="4"/>
    <x v="4"/>
    <s v=""/>
  </r>
  <r>
    <x v="114"/>
    <x v="3"/>
    <x v="10"/>
    <m/>
    <m/>
    <m/>
    <x v="51"/>
    <x v="4"/>
    <x v="4"/>
    <s v=""/>
  </r>
  <r>
    <x v="114"/>
    <x v="3"/>
    <x v="10"/>
    <m/>
    <m/>
    <m/>
    <x v="51"/>
    <x v="4"/>
    <x v="4"/>
    <s v=""/>
  </r>
  <r>
    <x v="114"/>
    <x v="3"/>
    <x v="10"/>
    <m/>
    <m/>
    <m/>
    <x v="51"/>
    <x v="4"/>
    <x v="4"/>
    <s v=""/>
  </r>
  <r>
    <x v="114"/>
    <x v="3"/>
    <x v="10"/>
    <m/>
    <m/>
    <m/>
    <x v="51"/>
    <x v="4"/>
    <x v="4"/>
    <s v=""/>
  </r>
  <r>
    <x v="114"/>
    <x v="3"/>
    <x v="10"/>
    <m/>
    <m/>
    <m/>
    <x v="51"/>
    <x v="4"/>
    <x v="4"/>
    <s v=""/>
  </r>
  <r>
    <x v="114"/>
    <x v="3"/>
    <x v="10"/>
    <m/>
    <m/>
    <m/>
    <x v="51"/>
    <x v="4"/>
    <x v="4"/>
    <s v=""/>
  </r>
  <r>
    <x v="114"/>
    <x v="3"/>
    <x v="10"/>
    <m/>
    <m/>
    <m/>
    <x v="51"/>
    <x v="4"/>
    <x v="4"/>
    <s v=""/>
  </r>
  <r>
    <x v="114"/>
    <x v="3"/>
    <x v="10"/>
    <m/>
    <m/>
    <m/>
    <x v="51"/>
    <x v="4"/>
    <x v="4"/>
    <s v=""/>
  </r>
  <r>
    <x v="114"/>
    <x v="3"/>
    <x v="10"/>
    <m/>
    <m/>
    <m/>
    <x v="51"/>
    <x v="4"/>
    <x v="4"/>
    <s v=""/>
  </r>
  <r>
    <x v="114"/>
    <x v="3"/>
    <x v="10"/>
    <m/>
    <m/>
    <m/>
    <x v="51"/>
    <x v="4"/>
    <x v="4"/>
    <s v=""/>
  </r>
  <r>
    <x v="114"/>
    <x v="3"/>
    <x v="10"/>
    <m/>
    <m/>
    <m/>
    <x v="51"/>
    <x v="4"/>
    <x v="4"/>
    <s v=""/>
  </r>
  <r>
    <x v="114"/>
    <x v="3"/>
    <x v="10"/>
    <m/>
    <m/>
    <m/>
    <x v="51"/>
    <x v="4"/>
    <x v="4"/>
    <s v=""/>
  </r>
  <r>
    <x v="114"/>
    <x v="3"/>
    <x v="10"/>
    <m/>
    <m/>
    <m/>
    <x v="51"/>
    <x v="4"/>
    <x v="4"/>
    <s v=""/>
  </r>
  <r>
    <x v="114"/>
    <x v="3"/>
    <x v="10"/>
    <m/>
    <m/>
    <m/>
    <x v="51"/>
    <x v="4"/>
    <x v="4"/>
    <s v=""/>
  </r>
  <r>
    <x v="114"/>
    <x v="3"/>
    <x v="10"/>
    <m/>
    <m/>
    <m/>
    <x v="51"/>
    <x v="4"/>
    <x v="4"/>
    <s v=""/>
  </r>
  <r>
    <x v="114"/>
    <x v="3"/>
    <x v="10"/>
    <m/>
    <m/>
    <m/>
    <x v="51"/>
    <x v="4"/>
    <x v="4"/>
    <s v=""/>
  </r>
  <r>
    <x v="114"/>
    <x v="3"/>
    <x v="10"/>
    <m/>
    <m/>
    <m/>
    <x v="51"/>
    <x v="4"/>
    <x v="4"/>
    <s v=""/>
  </r>
  <r>
    <x v="114"/>
    <x v="3"/>
    <x v="10"/>
    <m/>
    <m/>
    <m/>
    <x v="51"/>
    <x v="4"/>
    <x v="4"/>
    <s v=""/>
  </r>
  <r>
    <x v="114"/>
    <x v="3"/>
    <x v="10"/>
    <m/>
    <m/>
    <m/>
    <x v="51"/>
    <x v="4"/>
    <x v="4"/>
    <s v=""/>
  </r>
  <r>
    <x v="114"/>
    <x v="3"/>
    <x v="10"/>
    <m/>
    <m/>
    <m/>
    <x v="51"/>
    <x v="4"/>
    <x v="4"/>
    <s v=""/>
  </r>
  <r>
    <x v="114"/>
    <x v="3"/>
    <x v="10"/>
    <m/>
    <m/>
    <m/>
    <x v="51"/>
    <x v="4"/>
    <x v="4"/>
    <s v=""/>
  </r>
  <r>
    <x v="114"/>
    <x v="3"/>
    <x v="10"/>
    <m/>
    <m/>
    <m/>
    <x v="51"/>
    <x v="4"/>
    <x v="4"/>
    <s v=""/>
  </r>
  <r>
    <x v="114"/>
    <x v="3"/>
    <x v="10"/>
    <m/>
    <m/>
    <m/>
    <x v="51"/>
    <x v="4"/>
    <x v="4"/>
    <s v=""/>
  </r>
  <r>
    <x v="114"/>
    <x v="3"/>
    <x v="10"/>
    <m/>
    <m/>
    <m/>
    <x v="51"/>
    <x v="4"/>
    <x v="4"/>
    <s v=""/>
  </r>
  <r>
    <x v="114"/>
    <x v="3"/>
    <x v="10"/>
    <m/>
    <m/>
    <m/>
    <x v="51"/>
    <x v="4"/>
    <x v="4"/>
    <s v=""/>
  </r>
  <r>
    <x v="114"/>
    <x v="3"/>
    <x v="10"/>
    <m/>
    <m/>
    <m/>
    <x v="51"/>
    <x v="4"/>
    <x v="4"/>
    <s v=""/>
  </r>
  <r>
    <x v="114"/>
    <x v="3"/>
    <x v="10"/>
    <m/>
    <m/>
    <m/>
    <x v="51"/>
    <x v="4"/>
    <x v="4"/>
    <s v=""/>
  </r>
  <r>
    <x v="114"/>
    <x v="3"/>
    <x v="10"/>
    <m/>
    <m/>
    <m/>
    <x v="51"/>
    <x v="4"/>
    <x v="4"/>
    <s v=""/>
  </r>
  <r>
    <x v="114"/>
    <x v="3"/>
    <x v="10"/>
    <m/>
    <m/>
    <m/>
    <x v="51"/>
    <x v="4"/>
    <x v="4"/>
    <s v=""/>
  </r>
  <r>
    <x v="114"/>
    <x v="3"/>
    <x v="10"/>
    <m/>
    <m/>
    <m/>
    <x v="51"/>
    <x v="4"/>
    <x v="4"/>
    <s v=""/>
  </r>
  <r>
    <x v="114"/>
    <x v="3"/>
    <x v="10"/>
    <m/>
    <m/>
    <m/>
    <x v="51"/>
    <x v="4"/>
    <x v="4"/>
    <s v=""/>
  </r>
  <r>
    <x v="114"/>
    <x v="3"/>
    <x v="10"/>
    <m/>
    <m/>
    <m/>
    <x v="51"/>
    <x v="4"/>
    <x v="4"/>
    <s v=""/>
  </r>
  <r>
    <x v="114"/>
    <x v="3"/>
    <x v="10"/>
    <m/>
    <m/>
    <m/>
    <x v="51"/>
    <x v="4"/>
    <x v="4"/>
    <s v=""/>
  </r>
  <r>
    <x v="114"/>
    <x v="3"/>
    <x v="10"/>
    <m/>
    <m/>
    <m/>
    <x v="51"/>
    <x v="4"/>
    <x v="4"/>
    <s v=""/>
  </r>
  <r>
    <x v="114"/>
    <x v="3"/>
    <x v="10"/>
    <m/>
    <m/>
    <m/>
    <x v="51"/>
    <x v="4"/>
    <x v="4"/>
    <s v=""/>
  </r>
  <r>
    <x v="114"/>
    <x v="3"/>
    <x v="10"/>
    <m/>
    <m/>
    <m/>
    <x v="51"/>
    <x v="4"/>
    <x v="4"/>
    <s v=""/>
  </r>
  <r>
    <x v="114"/>
    <x v="3"/>
    <x v="10"/>
    <m/>
    <m/>
    <m/>
    <x v="51"/>
    <x v="4"/>
    <x v="4"/>
    <s v=""/>
  </r>
  <r>
    <x v="114"/>
    <x v="3"/>
    <x v="10"/>
    <m/>
    <m/>
    <m/>
    <x v="51"/>
    <x v="4"/>
    <x v="4"/>
    <s v=""/>
  </r>
  <r>
    <x v="114"/>
    <x v="3"/>
    <x v="10"/>
    <m/>
    <m/>
    <m/>
    <x v="51"/>
    <x v="4"/>
    <x v="4"/>
    <s v=""/>
  </r>
  <r>
    <x v="114"/>
    <x v="3"/>
    <x v="10"/>
    <m/>
    <m/>
    <m/>
    <x v="51"/>
    <x v="4"/>
    <x v="4"/>
    <s v=""/>
  </r>
  <r>
    <x v="114"/>
    <x v="3"/>
    <x v="10"/>
    <m/>
    <m/>
    <m/>
    <x v="51"/>
    <x v="4"/>
    <x v="4"/>
    <s v=""/>
  </r>
  <r>
    <x v="114"/>
    <x v="3"/>
    <x v="10"/>
    <m/>
    <m/>
    <m/>
    <x v="51"/>
    <x v="4"/>
    <x v="4"/>
    <s v=""/>
  </r>
  <r>
    <x v="114"/>
    <x v="3"/>
    <x v="10"/>
    <m/>
    <m/>
    <m/>
    <x v="51"/>
    <x v="4"/>
    <x v="4"/>
    <s v=""/>
  </r>
  <r>
    <x v="114"/>
    <x v="3"/>
    <x v="10"/>
    <m/>
    <m/>
    <m/>
    <x v="51"/>
    <x v="4"/>
    <x v="4"/>
    <s v=""/>
  </r>
  <r>
    <x v="114"/>
    <x v="3"/>
    <x v="10"/>
    <m/>
    <m/>
    <m/>
    <x v="51"/>
    <x v="4"/>
    <x v="4"/>
    <s v=""/>
  </r>
  <r>
    <x v="114"/>
    <x v="3"/>
    <x v="10"/>
    <m/>
    <m/>
    <m/>
    <x v="51"/>
    <x v="4"/>
    <x v="4"/>
    <s v=""/>
  </r>
  <r>
    <x v="114"/>
    <x v="3"/>
    <x v="10"/>
    <m/>
    <m/>
    <m/>
    <x v="51"/>
    <x v="4"/>
    <x v="4"/>
    <s v=""/>
  </r>
  <r>
    <x v="114"/>
    <x v="3"/>
    <x v="10"/>
    <m/>
    <m/>
    <m/>
    <x v="51"/>
    <x v="4"/>
    <x v="4"/>
    <s v=""/>
  </r>
  <r>
    <x v="114"/>
    <x v="3"/>
    <x v="10"/>
    <m/>
    <m/>
    <m/>
    <x v="51"/>
    <x v="4"/>
    <x v="4"/>
    <s v=""/>
  </r>
  <r>
    <x v="114"/>
    <x v="3"/>
    <x v="10"/>
    <m/>
    <m/>
    <m/>
    <x v="51"/>
    <x v="4"/>
    <x v="4"/>
    <s v=""/>
  </r>
  <r>
    <x v="114"/>
    <x v="3"/>
    <x v="10"/>
    <m/>
    <m/>
    <m/>
    <x v="51"/>
    <x v="4"/>
    <x v="4"/>
    <s v=""/>
  </r>
  <r>
    <x v="114"/>
    <x v="3"/>
    <x v="10"/>
    <m/>
    <m/>
    <m/>
    <x v="51"/>
    <x v="4"/>
    <x v="4"/>
    <s v=""/>
  </r>
  <r>
    <x v="114"/>
    <x v="3"/>
    <x v="10"/>
    <m/>
    <m/>
    <m/>
    <x v="51"/>
    <x v="4"/>
    <x v="4"/>
    <s v=""/>
  </r>
  <r>
    <x v="114"/>
    <x v="3"/>
    <x v="10"/>
    <m/>
    <m/>
    <m/>
    <x v="51"/>
    <x v="4"/>
    <x v="4"/>
    <s v=""/>
  </r>
  <r>
    <x v="114"/>
    <x v="3"/>
    <x v="10"/>
    <m/>
    <m/>
    <m/>
    <x v="51"/>
    <x v="4"/>
    <x v="4"/>
    <s v=""/>
  </r>
  <r>
    <x v="114"/>
    <x v="3"/>
    <x v="10"/>
    <m/>
    <m/>
    <m/>
    <x v="51"/>
    <x v="4"/>
    <x v="4"/>
    <s v=""/>
  </r>
  <r>
    <x v="114"/>
    <x v="3"/>
    <x v="10"/>
    <m/>
    <m/>
    <m/>
    <x v="51"/>
    <x v="4"/>
    <x v="4"/>
    <s v=""/>
  </r>
  <r>
    <x v="114"/>
    <x v="3"/>
    <x v="10"/>
    <m/>
    <m/>
    <m/>
    <x v="51"/>
    <x v="4"/>
    <x v="4"/>
    <s v=""/>
  </r>
  <r>
    <x v="114"/>
    <x v="3"/>
    <x v="10"/>
    <m/>
    <m/>
    <m/>
    <x v="51"/>
    <x v="4"/>
    <x v="4"/>
    <s v=""/>
  </r>
  <r>
    <x v="114"/>
    <x v="3"/>
    <x v="10"/>
    <m/>
    <m/>
    <m/>
    <x v="51"/>
    <x v="4"/>
    <x v="4"/>
    <s v=""/>
  </r>
  <r>
    <x v="114"/>
    <x v="3"/>
    <x v="10"/>
    <m/>
    <m/>
    <m/>
    <x v="51"/>
    <x v="4"/>
    <x v="4"/>
    <s v=""/>
  </r>
  <r>
    <x v="114"/>
    <x v="3"/>
    <x v="10"/>
    <m/>
    <m/>
    <m/>
    <x v="51"/>
    <x v="4"/>
    <x v="4"/>
    <s v=""/>
  </r>
  <r>
    <x v="114"/>
    <x v="3"/>
    <x v="10"/>
    <m/>
    <m/>
    <m/>
    <x v="51"/>
    <x v="4"/>
    <x v="4"/>
    <s v=""/>
  </r>
  <r>
    <x v="114"/>
    <x v="3"/>
    <x v="10"/>
    <m/>
    <m/>
    <m/>
    <x v="51"/>
    <x v="4"/>
    <x v="4"/>
    <s v=""/>
  </r>
  <r>
    <x v="114"/>
    <x v="3"/>
    <x v="10"/>
    <m/>
    <m/>
    <m/>
    <x v="51"/>
    <x v="4"/>
    <x v="4"/>
    <s v=""/>
  </r>
  <r>
    <x v="114"/>
    <x v="3"/>
    <x v="10"/>
    <m/>
    <m/>
    <m/>
    <x v="51"/>
    <x v="4"/>
    <x v="4"/>
    <s v=""/>
  </r>
  <r>
    <x v="114"/>
    <x v="3"/>
    <x v="10"/>
    <m/>
    <m/>
    <m/>
    <x v="51"/>
    <x v="4"/>
    <x v="4"/>
    <s v=""/>
  </r>
  <r>
    <x v="114"/>
    <x v="3"/>
    <x v="10"/>
    <m/>
    <m/>
    <m/>
    <x v="51"/>
    <x v="4"/>
    <x v="4"/>
    <s v=""/>
  </r>
  <r>
    <x v="114"/>
    <x v="3"/>
    <x v="10"/>
    <m/>
    <m/>
    <m/>
    <x v="51"/>
    <x v="4"/>
    <x v="4"/>
    <s v=""/>
  </r>
  <r>
    <x v="114"/>
    <x v="3"/>
    <x v="10"/>
    <m/>
    <m/>
    <m/>
    <x v="51"/>
    <x v="4"/>
    <x v="4"/>
    <s v=""/>
  </r>
  <r>
    <x v="114"/>
    <x v="3"/>
    <x v="10"/>
    <m/>
    <m/>
    <m/>
    <x v="51"/>
    <x v="4"/>
    <x v="4"/>
    <s v=""/>
  </r>
  <r>
    <x v="114"/>
    <x v="3"/>
    <x v="10"/>
    <m/>
    <m/>
    <m/>
    <x v="51"/>
    <x v="4"/>
    <x v="4"/>
    <s v=""/>
  </r>
  <r>
    <x v="114"/>
    <x v="3"/>
    <x v="10"/>
    <m/>
    <m/>
    <m/>
    <x v="51"/>
    <x v="4"/>
    <x v="4"/>
    <s v=""/>
  </r>
  <r>
    <x v="114"/>
    <x v="3"/>
    <x v="10"/>
    <m/>
    <m/>
    <m/>
    <x v="51"/>
    <x v="4"/>
    <x v="4"/>
    <s v=""/>
  </r>
  <r>
    <x v="114"/>
    <x v="3"/>
    <x v="10"/>
    <m/>
    <m/>
    <m/>
    <x v="51"/>
    <x v="4"/>
    <x v="4"/>
    <s v=""/>
  </r>
  <r>
    <x v="114"/>
    <x v="3"/>
    <x v="10"/>
    <m/>
    <m/>
    <m/>
    <x v="51"/>
    <x v="4"/>
    <x v="4"/>
    <s v=""/>
  </r>
  <r>
    <x v="114"/>
    <x v="3"/>
    <x v="10"/>
    <m/>
    <m/>
    <m/>
    <x v="51"/>
    <x v="4"/>
    <x v="4"/>
    <s v=""/>
  </r>
  <r>
    <x v="114"/>
    <x v="3"/>
    <x v="10"/>
    <m/>
    <m/>
    <m/>
    <x v="51"/>
    <x v="4"/>
    <x v="4"/>
    <s v=""/>
  </r>
  <r>
    <x v="114"/>
    <x v="3"/>
    <x v="10"/>
    <m/>
    <m/>
    <m/>
    <x v="51"/>
    <x v="4"/>
    <x v="4"/>
    <s v=""/>
  </r>
  <r>
    <x v="114"/>
    <x v="3"/>
    <x v="10"/>
    <m/>
    <m/>
    <m/>
    <x v="51"/>
    <x v="4"/>
    <x v="4"/>
    <s v=""/>
  </r>
  <r>
    <x v="114"/>
    <x v="3"/>
    <x v="10"/>
    <m/>
    <m/>
    <m/>
    <x v="51"/>
    <x v="4"/>
    <x v="4"/>
    <s v=""/>
  </r>
  <r>
    <x v="114"/>
    <x v="3"/>
    <x v="10"/>
    <m/>
    <m/>
    <m/>
    <x v="51"/>
    <x v="4"/>
    <x v="4"/>
    <s v=""/>
  </r>
  <r>
    <x v="114"/>
    <x v="3"/>
    <x v="10"/>
    <m/>
    <m/>
    <m/>
    <x v="51"/>
    <x v="4"/>
    <x v="4"/>
    <s v=""/>
  </r>
  <r>
    <x v="114"/>
    <x v="3"/>
    <x v="10"/>
    <m/>
    <m/>
    <m/>
    <x v="51"/>
    <x v="4"/>
    <x v="4"/>
    <s v=""/>
  </r>
  <r>
    <x v="114"/>
    <x v="3"/>
    <x v="10"/>
    <m/>
    <m/>
    <m/>
    <x v="51"/>
    <x v="4"/>
    <x v="4"/>
    <s v=""/>
  </r>
  <r>
    <x v="114"/>
    <x v="3"/>
    <x v="10"/>
    <m/>
    <m/>
    <m/>
    <x v="51"/>
    <x v="4"/>
    <x v="4"/>
    <s v=""/>
  </r>
  <r>
    <x v="114"/>
    <x v="3"/>
    <x v="10"/>
    <m/>
    <m/>
    <m/>
    <x v="51"/>
    <x v="4"/>
    <x v="4"/>
    <s v=""/>
  </r>
  <r>
    <x v="114"/>
    <x v="3"/>
    <x v="10"/>
    <m/>
    <m/>
    <m/>
    <x v="51"/>
    <x v="4"/>
    <x v="4"/>
    <s v=""/>
  </r>
  <r>
    <x v="114"/>
    <x v="3"/>
    <x v="10"/>
    <m/>
    <m/>
    <m/>
    <x v="51"/>
    <x v="4"/>
    <x v="4"/>
    <s v=""/>
  </r>
  <r>
    <x v="114"/>
    <x v="3"/>
    <x v="10"/>
    <m/>
    <m/>
    <m/>
    <x v="51"/>
    <x v="4"/>
    <x v="4"/>
    <s v=""/>
  </r>
  <r>
    <x v="114"/>
    <x v="3"/>
    <x v="10"/>
    <m/>
    <m/>
    <m/>
    <x v="51"/>
    <x v="4"/>
    <x v="4"/>
    <s v=""/>
  </r>
  <r>
    <x v="114"/>
    <x v="3"/>
    <x v="10"/>
    <m/>
    <m/>
    <m/>
    <x v="51"/>
    <x v="4"/>
    <x v="4"/>
    <s v=""/>
  </r>
  <r>
    <x v="114"/>
    <x v="3"/>
    <x v="10"/>
    <m/>
    <m/>
    <m/>
    <x v="51"/>
    <x v="4"/>
    <x v="4"/>
    <s v=""/>
  </r>
  <r>
    <x v="114"/>
    <x v="3"/>
    <x v="10"/>
    <m/>
    <m/>
    <m/>
    <x v="51"/>
    <x v="4"/>
    <x v="4"/>
    <s v=""/>
  </r>
  <r>
    <x v="114"/>
    <x v="3"/>
    <x v="10"/>
    <m/>
    <m/>
    <m/>
    <x v="51"/>
    <x v="4"/>
    <x v="4"/>
    <s v=""/>
  </r>
  <r>
    <x v="114"/>
    <x v="3"/>
    <x v="10"/>
    <m/>
    <m/>
    <m/>
    <x v="51"/>
    <x v="4"/>
    <x v="4"/>
    <s v=""/>
  </r>
  <r>
    <x v="114"/>
    <x v="3"/>
    <x v="10"/>
    <m/>
    <m/>
    <m/>
    <x v="51"/>
    <x v="4"/>
    <x v="4"/>
    <s v=""/>
  </r>
  <r>
    <x v="114"/>
    <x v="3"/>
    <x v="10"/>
    <m/>
    <m/>
    <m/>
    <x v="51"/>
    <x v="4"/>
    <x v="4"/>
    <s v=""/>
  </r>
  <r>
    <x v="114"/>
    <x v="3"/>
    <x v="10"/>
    <m/>
    <m/>
    <m/>
    <x v="51"/>
    <x v="4"/>
    <x v="4"/>
    <s v=""/>
  </r>
  <r>
    <x v="114"/>
    <x v="3"/>
    <x v="10"/>
    <m/>
    <m/>
    <m/>
    <x v="51"/>
    <x v="4"/>
    <x v="4"/>
    <s v=""/>
  </r>
  <r>
    <x v="114"/>
    <x v="3"/>
    <x v="10"/>
    <m/>
    <m/>
    <m/>
    <x v="51"/>
    <x v="4"/>
    <x v="4"/>
    <s v=""/>
  </r>
  <r>
    <x v="114"/>
    <x v="3"/>
    <x v="10"/>
    <m/>
    <m/>
    <m/>
    <x v="51"/>
    <x v="4"/>
    <x v="4"/>
    <s v=""/>
  </r>
  <r>
    <x v="114"/>
    <x v="3"/>
    <x v="10"/>
    <m/>
    <m/>
    <m/>
    <x v="51"/>
    <x v="4"/>
    <x v="4"/>
    <s v=""/>
  </r>
  <r>
    <x v="114"/>
    <x v="3"/>
    <x v="10"/>
    <m/>
    <m/>
    <m/>
    <x v="51"/>
    <x v="4"/>
    <x v="4"/>
    <s v=""/>
  </r>
  <r>
    <x v="114"/>
    <x v="3"/>
    <x v="10"/>
    <m/>
    <m/>
    <m/>
    <x v="51"/>
    <x v="4"/>
    <x v="4"/>
    <s v=""/>
  </r>
  <r>
    <x v="114"/>
    <x v="3"/>
    <x v="10"/>
    <m/>
    <m/>
    <m/>
    <x v="51"/>
    <x v="4"/>
    <x v="4"/>
    <s v=""/>
  </r>
  <r>
    <x v="114"/>
    <x v="3"/>
    <x v="10"/>
    <m/>
    <m/>
    <m/>
    <x v="51"/>
    <x v="4"/>
    <x v="4"/>
    <s v=""/>
  </r>
  <r>
    <x v="114"/>
    <x v="3"/>
    <x v="10"/>
    <m/>
    <m/>
    <m/>
    <x v="51"/>
    <x v="4"/>
    <x v="4"/>
    <s v=""/>
  </r>
  <r>
    <x v="114"/>
    <x v="3"/>
    <x v="10"/>
    <m/>
    <m/>
    <m/>
    <x v="51"/>
    <x v="4"/>
    <x v="4"/>
    <s v=""/>
  </r>
  <r>
    <x v="114"/>
    <x v="3"/>
    <x v="10"/>
    <m/>
    <m/>
    <m/>
    <x v="51"/>
    <x v="4"/>
    <x v="4"/>
    <s v=""/>
  </r>
  <r>
    <x v="114"/>
    <x v="3"/>
    <x v="10"/>
    <m/>
    <m/>
    <m/>
    <x v="51"/>
    <x v="4"/>
    <x v="4"/>
    <s v=""/>
  </r>
  <r>
    <x v="114"/>
    <x v="3"/>
    <x v="10"/>
    <m/>
    <m/>
    <m/>
    <x v="51"/>
    <x v="4"/>
    <x v="4"/>
    <s v=""/>
  </r>
  <r>
    <x v="114"/>
    <x v="3"/>
    <x v="10"/>
    <m/>
    <m/>
    <m/>
    <x v="51"/>
    <x v="4"/>
    <x v="4"/>
    <s v=""/>
  </r>
  <r>
    <x v="114"/>
    <x v="3"/>
    <x v="10"/>
    <m/>
    <m/>
    <m/>
    <x v="51"/>
    <x v="4"/>
    <x v="4"/>
    <s v=""/>
  </r>
  <r>
    <x v="114"/>
    <x v="3"/>
    <x v="10"/>
    <m/>
    <m/>
    <m/>
    <x v="51"/>
    <x v="4"/>
    <x v="4"/>
    <s v=""/>
  </r>
  <r>
    <x v="114"/>
    <x v="3"/>
    <x v="10"/>
    <m/>
    <m/>
    <m/>
    <x v="51"/>
    <x v="4"/>
    <x v="4"/>
    <s v=""/>
  </r>
  <r>
    <x v="114"/>
    <x v="3"/>
    <x v="10"/>
    <m/>
    <m/>
    <m/>
    <x v="51"/>
    <x v="4"/>
    <x v="4"/>
    <s v=""/>
  </r>
  <r>
    <x v="114"/>
    <x v="3"/>
    <x v="10"/>
    <m/>
    <m/>
    <m/>
    <x v="51"/>
    <x v="4"/>
    <x v="4"/>
    <s v=""/>
  </r>
  <r>
    <x v="114"/>
    <x v="3"/>
    <x v="10"/>
    <m/>
    <m/>
    <m/>
    <x v="51"/>
    <x v="4"/>
    <x v="4"/>
    <s v=""/>
  </r>
  <r>
    <x v="114"/>
    <x v="3"/>
    <x v="10"/>
    <m/>
    <m/>
    <m/>
    <x v="51"/>
    <x v="4"/>
    <x v="4"/>
    <s v=""/>
  </r>
  <r>
    <x v="114"/>
    <x v="3"/>
    <x v="10"/>
    <m/>
    <m/>
    <m/>
    <x v="51"/>
    <x v="4"/>
    <x v="4"/>
    <s v=""/>
  </r>
  <r>
    <x v="114"/>
    <x v="3"/>
    <x v="10"/>
    <m/>
    <m/>
    <m/>
    <x v="51"/>
    <x v="4"/>
    <x v="4"/>
    <s v=""/>
  </r>
  <r>
    <x v="114"/>
    <x v="3"/>
    <x v="10"/>
    <m/>
    <m/>
    <m/>
    <x v="51"/>
    <x v="4"/>
    <x v="4"/>
    <s v=""/>
  </r>
  <r>
    <x v="114"/>
    <x v="3"/>
    <x v="10"/>
    <m/>
    <m/>
    <m/>
    <x v="51"/>
    <x v="4"/>
    <x v="4"/>
    <s v=""/>
  </r>
  <r>
    <x v="114"/>
    <x v="3"/>
    <x v="10"/>
    <m/>
    <m/>
    <m/>
    <x v="51"/>
    <x v="4"/>
    <x v="4"/>
    <s v=""/>
  </r>
  <r>
    <x v="114"/>
    <x v="3"/>
    <x v="10"/>
    <m/>
    <m/>
    <m/>
    <x v="51"/>
    <x v="4"/>
    <x v="4"/>
    <s v=""/>
  </r>
  <r>
    <x v="114"/>
    <x v="3"/>
    <x v="10"/>
    <m/>
    <m/>
    <m/>
    <x v="51"/>
    <x v="4"/>
    <x v="4"/>
    <s v=""/>
  </r>
  <r>
    <x v="114"/>
    <x v="3"/>
    <x v="10"/>
    <m/>
    <m/>
    <m/>
    <x v="51"/>
    <x v="4"/>
    <x v="4"/>
    <s v=""/>
  </r>
  <r>
    <x v="114"/>
    <x v="3"/>
    <x v="10"/>
    <m/>
    <m/>
    <m/>
    <x v="51"/>
    <x v="4"/>
    <x v="4"/>
    <s v=""/>
  </r>
  <r>
    <x v="114"/>
    <x v="3"/>
    <x v="10"/>
    <m/>
    <m/>
    <m/>
    <x v="51"/>
    <x v="4"/>
    <x v="4"/>
    <s v=""/>
  </r>
  <r>
    <x v="114"/>
    <x v="3"/>
    <x v="10"/>
    <m/>
    <m/>
    <m/>
    <x v="51"/>
    <x v="4"/>
    <x v="4"/>
    <s v="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374BB09-D395-4FFF-8856-355101D599F3}" name="Tabela dinâmica1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23">
  <location ref="I5:J7" firstHeaderRow="1" firstDataRow="1" firstDataCol="1" rowPageCount="1" colPageCount="1"/>
  <pivotFields count="12">
    <pivotField showAll="0"/>
    <pivotField showAll="0"/>
    <pivotField showAll="0" sortType="descending"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dataField="1" showAll="0"/>
    <pivotField showAll="0"/>
    <pivotField showAll="0">
      <items count="66">
        <item x="0"/>
        <item x="1"/>
        <item x="2"/>
        <item x="3"/>
        <item x="4"/>
        <item x="5"/>
        <item x="6"/>
        <item x="7"/>
        <item x="9"/>
        <item x="10"/>
        <item x="8"/>
        <item x="11"/>
        <item x="12"/>
        <item x="13"/>
        <item x="14"/>
        <item x="15"/>
        <item x="16"/>
        <item x="17"/>
        <item x="21"/>
        <item x="22"/>
        <item x="23"/>
        <item x="24"/>
        <item x="18"/>
        <item x="19"/>
        <item x="25"/>
        <item x="26"/>
        <item x="27"/>
        <item x="29"/>
        <item x="30"/>
        <item x="31"/>
        <item x="20"/>
        <item x="32"/>
        <item x="33"/>
        <item x="34"/>
        <item m="1" x="64"/>
        <item x="28"/>
        <item x="51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m="1" x="62"/>
        <item x="49"/>
        <item x="50"/>
        <item x="47"/>
        <item x="52"/>
        <item x="53"/>
        <item m="1" x="63"/>
        <item x="55"/>
        <item x="56"/>
        <item x="57"/>
        <item x="48"/>
        <item x="58"/>
        <item x="54"/>
        <item x="59"/>
        <item m="1" x="61"/>
        <item x="60"/>
        <item t="default"/>
      </items>
    </pivotField>
    <pivotField axis="axisRow" showAll="0">
      <items count="6">
        <item h="1" x="4"/>
        <item x="0"/>
        <item x="3"/>
        <item x="1"/>
        <item h="1" x="2"/>
        <item t="default"/>
      </items>
    </pivotField>
    <pivotField axis="axisPage" multipleItemSelectionAllowed="1" showAll="0">
      <items count="9">
        <item h="1" m="1" x="7"/>
        <item h="1" x="4"/>
        <item h="1" x="0"/>
        <item h="1" x="1"/>
        <item h="1" x="2"/>
        <item h="1" m="1" x="6"/>
        <item h="1" x="3"/>
        <item x="5"/>
        <item t="default"/>
      </items>
    </pivotField>
    <pivotField multipleItemSelectionAllowed="1"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7"/>
  </rowFields>
  <rowItems count="2">
    <i>
      <x v="1"/>
    </i>
    <i t="grand">
      <x/>
    </i>
  </rowItems>
  <colItems count="1">
    <i/>
  </colItems>
  <pageFields count="1">
    <pageField fld="8" hier="-1"/>
  </pageFields>
  <dataFields count="1">
    <dataField name="Soma de Valor" fld="4" baseField="3" baseItem="2" numFmtId="164"/>
  </dataFields>
  <chartFormats count="7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8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8" format="3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18" format="4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  <chartFormat chart="18" format="5">
      <pivotArea type="data" outline="0" fieldPosition="0">
        <references count="2">
          <reference field="4294967294" count="1" selected="0">
            <x v="0"/>
          </reference>
          <reference field="7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9E3B648-5BFD-4102-AB67-4BBBA9E91F43}" name="Tabela dinâmica2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2">
  <location ref="AD4:AE5" firstHeaderRow="1" firstDataRow="1" firstDataCol="1" rowPageCount="1" colPageCount="1"/>
  <pivotFields count="12">
    <pivotField axis="axisRow" showAll="0" sortType="descending">
      <items count="148">
        <item m="1" x="140"/>
        <item x="50"/>
        <item x="22"/>
        <item x="56"/>
        <item x="6"/>
        <item x="59"/>
        <item m="1" x="144"/>
        <item m="1" x="137"/>
        <item x="38"/>
        <item m="1" x="121"/>
        <item m="1" x="136"/>
        <item m="1" x="142"/>
        <item x="30"/>
        <item x="54"/>
        <item x="24"/>
        <item x="35"/>
        <item x="28"/>
        <item x="9"/>
        <item x="31"/>
        <item x="46"/>
        <item m="1" x="133"/>
        <item x="62"/>
        <item x="7"/>
        <item m="1" x="125"/>
        <item x="16"/>
        <item x="47"/>
        <item x="21"/>
        <item x="39"/>
        <item x="0"/>
        <item x="36"/>
        <item m="1" x="141"/>
        <item x="52"/>
        <item x="1"/>
        <item x="11"/>
        <item x="55"/>
        <item m="1" x="126"/>
        <item m="1" x="131"/>
        <item x="25"/>
        <item x="48"/>
        <item x="20"/>
        <item m="1" x="134"/>
        <item m="1" x="129"/>
        <item x="15"/>
        <item x="61"/>
        <item m="1" x="124"/>
        <item x="53"/>
        <item x="17"/>
        <item x="40"/>
        <item m="1" x="138"/>
        <item x="34"/>
        <item x="49"/>
        <item x="26"/>
        <item m="1" x="146"/>
        <item x="27"/>
        <item m="1" x="127"/>
        <item x="41"/>
        <item m="1" x="132"/>
        <item m="1" x="139"/>
        <item x="33"/>
        <item x="45"/>
        <item m="1" x="130"/>
        <item x="68"/>
        <item x="42"/>
        <item x="5"/>
        <item x="19"/>
        <item x="37"/>
        <item x="13"/>
        <item m="1" x="116"/>
        <item x="108"/>
        <item x="23"/>
        <item m="1" x="143"/>
        <item x="2"/>
        <item m="1" x="128"/>
        <item x="4"/>
        <item x="18"/>
        <item x="96"/>
        <item x="43"/>
        <item x="14"/>
        <item x="32"/>
        <item x="8"/>
        <item x="29"/>
        <item x="10"/>
        <item m="1" x="135"/>
        <item m="1" x="145"/>
        <item x="12"/>
        <item x="72"/>
        <item x="44"/>
        <item x="3"/>
        <item x="114"/>
        <item x="57"/>
        <item x="58"/>
        <item x="60"/>
        <item m="1" x="122"/>
        <item x="64"/>
        <item x="65"/>
        <item m="1" x="117"/>
        <item x="66"/>
        <item m="1" x="120"/>
        <item x="67"/>
        <item x="51"/>
        <item x="69"/>
        <item m="1" x="123"/>
        <item x="70"/>
        <item x="71"/>
        <item x="73"/>
        <item x="74"/>
        <item x="75"/>
        <item x="76"/>
        <item x="77"/>
        <item x="63"/>
        <item x="78"/>
        <item x="79"/>
        <item x="81"/>
        <item x="82"/>
        <item x="80"/>
        <item x="83"/>
        <item x="84"/>
        <item x="85"/>
        <item x="86"/>
        <item x="87"/>
        <item x="88"/>
        <item x="89"/>
        <item x="90"/>
        <item m="1" x="118"/>
        <item m="1" x="119"/>
        <item x="92"/>
        <item x="93"/>
        <item x="94"/>
        <item x="95"/>
        <item x="91"/>
        <item x="97"/>
        <item x="98"/>
        <item m="1" x="115"/>
        <item x="100"/>
        <item x="101"/>
        <item x="102"/>
        <item x="103"/>
        <item x="104"/>
        <item x="99"/>
        <item x="105"/>
        <item x="106"/>
        <item x="107"/>
        <item x="109"/>
        <item x="110"/>
        <item x="111"/>
        <item x="112"/>
        <item x="11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dataField="1" showAll="0"/>
    <pivotField showAll="0"/>
    <pivotField showAll="0">
      <items count="66">
        <item h="1" x="0"/>
        <item h="1" x="1"/>
        <item h="1" x="2"/>
        <item h="1" x="3"/>
        <item h="1" x="4"/>
        <item h="1" x="5"/>
        <item h="1" x="6"/>
        <item h="1" x="7"/>
        <item h="1" x="9"/>
        <item h="1" x="10"/>
        <item h="1" x="8"/>
        <item h="1" x="11"/>
        <item h="1" x="12"/>
        <item h="1" x="13"/>
        <item h="1" x="14"/>
        <item h="1" x="15"/>
        <item h="1" x="16"/>
        <item h="1" x="17"/>
        <item h="1" x="21"/>
        <item h="1" x="22"/>
        <item h="1" x="23"/>
        <item h="1" x="24"/>
        <item h="1" x="18"/>
        <item h="1" x="19"/>
        <item h="1" x="25"/>
        <item h="1" x="26"/>
        <item h="1" x="27"/>
        <item h="1" x="29"/>
        <item h="1" x="30"/>
        <item h="1" x="31"/>
        <item h="1" x="20"/>
        <item h="1" x="32"/>
        <item h="1" x="33"/>
        <item h="1" x="34"/>
        <item h="1" m="1" x="64"/>
        <item x="28"/>
        <item h="1" x="51"/>
        <item h="1" x="35"/>
        <item h="1" x="36"/>
        <item h="1" x="37"/>
        <item h="1" x="38"/>
        <item h="1" x="39"/>
        <item h="1" x="40"/>
        <item h="1" x="41"/>
        <item h="1" x="42"/>
        <item h="1" x="43"/>
        <item h="1" x="44"/>
        <item h="1" x="45"/>
        <item h="1" x="46"/>
        <item h="1" m="1" x="62"/>
        <item h="1" x="49"/>
        <item h="1" x="50"/>
        <item h="1" x="47"/>
        <item h="1" x="52"/>
        <item h="1" x="53"/>
        <item h="1" m="1" x="63"/>
        <item h="1" x="55"/>
        <item h="1" x="56"/>
        <item h="1" x="57"/>
        <item h="1" x="48"/>
        <item h="1" x="58"/>
        <item h="1" x="54"/>
        <item h="1" x="59"/>
        <item h="1" m="1" x="61"/>
        <item h="1" x="60"/>
        <item t="default"/>
      </items>
    </pivotField>
    <pivotField axis="axisRow" showAll="0" sortType="descending">
      <items count="6">
        <item h="1" x="4"/>
        <item x="0"/>
        <item h="1" x="3"/>
        <item h="1" x="1"/>
        <item h="1"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Page" multipleItemSelectionAllowed="1" showAll="0">
      <items count="9">
        <item h="1" x="0"/>
        <item h="1" x="1"/>
        <item h="1" m="1" x="7"/>
        <item h="1" x="4"/>
        <item h="1" x="2"/>
        <item h="1" m="1" x="6"/>
        <item h="1" x="3"/>
        <item x="5"/>
        <item t="default"/>
      </items>
    </pivotField>
    <pivotField showAll="0"/>
    <pivotField axis="axisRow" showAll="0" sortType="descending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3">
    <field x="10"/>
    <field x="7"/>
    <field x="0"/>
  </rowFields>
  <rowItems count="1">
    <i t="grand">
      <x/>
    </i>
  </rowItems>
  <colItems count="1">
    <i/>
  </colItems>
  <pageFields count="1">
    <pageField fld="8" hier="-1"/>
  </pageFields>
  <dataFields count="1">
    <dataField name="Soma de Valor" fld="4" baseField="0" baseItem="0"/>
  </dataFields>
  <chartFormats count="2"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553E351-2E05-4344-B02B-3EDBBFCEF687}" name="Tabela dinâmica6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9">
  <location ref="Q5:R7" firstHeaderRow="1" firstDataRow="1" firstDataCol="1" rowPageCount="1" colPageCount="1"/>
  <pivotFields count="12">
    <pivotField showAll="0"/>
    <pivotField axis="axisRow" showAll="0">
      <items count="6">
        <item x="0"/>
        <item x="1"/>
        <item h="1" x="3"/>
        <item h="1" m="1" x="4"/>
        <item h="1" x="2"/>
        <item t="default"/>
      </items>
    </pivotField>
    <pivotField showAll="0" sortType="descending"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dataField="1" showAll="0"/>
    <pivotField showAll="0"/>
    <pivotField showAll="0">
      <items count="66">
        <item x="0"/>
        <item x="1"/>
        <item x="2"/>
        <item x="3"/>
        <item x="4"/>
        <item x="5"/>
        <item x="6"/>
        <item x="7"/>
        <item x="9"/>
        <item x="10"/>
        <item x="8"/>
        <item x="11"/>
        <item x="12"/>
        <item x="13"/>
        <item x="14"/>
        <item x="15"/>
        <item x="16"/>
        <item x="17"/>
        <item x="21"/>
        <item x="22"/>
        <item x="23"/>
        <item x="24"/>
        <item x="18"/>
        <item x="19"/>
        <item x="25"/>
        <item x="26"/>
        <item x="27"/>
        <item x="29"/>
        <item x="30"/>
        <item x="31"/>
        <item x="20"/>
        <item x="32"/>
        <item x="33"/>
        <item x="34"/>
        <item m="1" x="64"/>
        <item x="28"/>
        <item x="51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m="1" x="62"/>
        <item x="49"/>
        <item x="50"/>
        <item x="47"/>
        <item x="52"/>
        <item x="53"/>
        <item m="1" x="63"/>
        <item x="55"/>
        <item x="56"/>
        <item x="57"/>
        <item x="48"/>
        <item x="58"/>
        <item x="54"/>
        <item x="59"/>
        <item m="1" x="61"/>
        <item x="60"/>
        <item t="default"/>
      </items>
    </pivotField>
    <pivotField showAll="0"/>
    <pivotField axis="axisPage" multipleItemSelectionAllowed="1" showAll="0">
      <items count="9">
        <item h="1" x="0"/>
        <item h="1" x="1"/>
        <item h="1" m="1" x="7"/>
        <item h="1" x="4"/>
        <item h="1" x="2"/>
        <item h="1" m="1" x="6"/>
        <item h="1" x="3"/>
        <item x="5"/>
        <item t="default"/>
      </items>
    </pivotField>
    <pivotField multipleItemSelectionAllowed="1"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1"/>
  </rowFields>
  <rowItems count="2">
    <i>
      <x/>
    </i>
    <i t="grand">
      <x/>
    </i>
  </rowItems>
  <colItems count="1">
    <i/>
  </colItems>
  <pageFields count="1">
    <pageField fld="8" hier="-1"/>
  </pageFields>
  <dataFields count="1">
    <dataField name="Soma de Valor" fld="4" baseField="0" baseItem="0"/>
  </dataFields>
  <formats count="1">
    <format dxfId="3">
      <pivotArea collapsedLevelsAreSubtotals="1" fieldPosition="0">
        <references count="1">
          <reference field="1" count="0"/>
        </references>
      </pivotArea>
    </format>
  </formats>
  <chartFormats count="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5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8" format="6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AA58F77-BFC4-4DFD-8CA1-3A721122F59C}" name="Tabela dinâmica4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9">
  <location ref="F5:G7" firstHeaderRow="1" firstDataRow="1" firstDataCol="1" rowPageCount="1" colPageCount="1"/>
  <pivotFields count="12">
    <pivotField showAll="0"/>
    <pivotField axis="axisRow" showAll="0">
      <items count="6">
        <item x="0"/>
        <item x="1"/>
        <item h="1" x="3"/>
        <item h="1" m="1" x="4"/>
        <item h="1" x="2"/>
        <item t="default"/>
      </items>
    </pivotField>
    <pivotField showAll="0" sortType="descending"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dataField="1" showAll="0"/>
    <pivotField showAll="0"/>
    <pivotField showAll="0">
      <items count="66">
        <item x="0"/>
        <item x="1"/>
        <item x="2"/>
        <item x="3"/>
        <item x="4"/>
        <item x="5"/>
        <item x="6"/>
        <item x="7"/>
        <item x="9"/>
        <item x="10"/>
        <item x="8"/>
        <item x="11"/>
        <item x="12"/>
        <item x="13"/>
        <item x="14"/>
        <item x="15"/>
        <item x="16"/>
        <item x="17"/>
        <item x="21"/>
        <item x="22"/>
        <item x="23"/>
        <item x="24"/>
        <item x="18"/>
        <item x="19"/>
        <item x="25"/>
        <item x="26"/>
        <item x="27"/>
        <item x="29"/>
        <item x="30"/>
        <item x="31"/>
        <item x="20"/>
        <item x="32"/>
        <item x="33"/>
        <item x="34"/>
        <item m="1" x="64"/>
        <item x="28"/>
        <item x="51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m="1" x="62"/>
        <item x="49"/>
        <item x="50"/>
        <item x="47"/>
        <item x="52"/>
        <item x="53"/>
        <item m="1" x="63"/>
        <item x="55"/>
        <item x="56"/>
        <item x="57"/>
        <item x="48"/>
        <item x="58"/>
        <item x="54"/>
        <item x="59"/>
        <item m="1" x="61"/>
        <item x="60"/>
        <item t="default"/>
      </items>
    </pivotField>
    <pivotField showAll="0"/>
    <pivotField axis="axisPage" multipleItemSelectionAllowed="1" showAll="0">
      <items count="9">
        <item h="1" m="1" x="7"/>
        <item h="1" x="4"/>
        <item h="1" x="0"/>
        <item h="1" x="1"/>
        <item h="1" x="2"/>
        <item h="1" m="1" x="6"/>
        <item h="1" x="3"/>
        <item x="5"/>
        <item t="default"/>
      </items>
    </pivotField>
    <pivotField multipleItemSelectionAllowed="1"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1"/>
  </rowFields>
  <rowItems count="2">
    <i>
      <x/>
    </i>
    <i t="grand">
      <x/>
    </i>
  </rowItems>
  <colItems count="1">
    <i/>
  </colItems>
  <pageFields count="1">
    <pageField fld="8" hier="-1"/>
  </pageFields>
  <dataFields count="1">
    <dataField name="Soma de Valor" fld="4" baseField="0" baseItem="0"/>
  </dataFields>
  <formats count="1">
    <format dxfId="4">
      <pivotArea collapsedLevelsAreSubtotals="1" fieldPosition="0">
        <references count="1">
          <reference field="1" count="0"/>
        </references>
      </pivotArea>
    </format>
  </formats>
  <chartFormats count="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5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8" format="6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F255DB4-62E7-45AB-B82C-8392812484ED}" name="Tabela dinâmica7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T5:U8" firstHeaderRow="1" firstDataRow="1" firstDataCol="1"/>
  <pivotFields count="12">
    <pivotField showAll="0"/>
    <pivotField axis="axisRow" showAll="0">
      <items count="6">
        <item m="1" x="4"/>
        <item x="0"/>
        <item x="1"/>
        <item h="1" x="3"/>
        <item h="1" x="2"/>
        <item t="default"/>
      </items>
    </pivotField>
    <pivotField showAll="0"/>
    <pivotField showAll="0"/>
    <pivotField dataField="1" showAll="0"/>
    <pivotField showAll="0"/>
    <pivotField showAll="0">
      <items count="66">
        <item x="0"/>
        <item x="1"/>
        <item x="2"/>
        <item x="3"/>
        <item x="4"/>
        <item x="5"/>
        <item x="6"/>
        <item x="7"/>
        <item x="9"/>
        <item x="10"/>
        <item x="8"/>
        <item x="11"/>
        <item x="12"/>
        <item x="13"/>
        <item x="14"/>
        <item x="15"/>
        <item x="16"/>
        <item x="17"/>
        <item x="21"/>
        <item x="22"/>
        <item x="23"/>
        <item x="24"/>
        <item x="18"/>
        <item x="19"/>
        <item x="25"/>
        <item x="26"/>
        <item x="27"/>
        <item x="29"/>
        <item x="30"/>
        <item x="31"/>
        <item x="20"/>
        <item x="32"/>
        <item x="33"/>
        <item x="34"/>
        <item m="1" x="64"/>
        <item x="28"/>
        <item x="51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m="1" x="62"/>
        <item x="49"/>
        <item x="50"/>
        <item x="47"/>
        <item x="52"/>
        <item x="53"/>
        <item m="1" x="63"/>
        <item x="55"/>
        <item x="56"/>
        <item x="57"/>
        <item x="48"/>
        <item x="58"/>
        <item x="54"/>
        <item x="59"/>
        <item m="1" x="61"/>
        <item x="60"/>
        <item t="default"/>
      </items>
    </pivotField>
    <pivotField showAll="0"/>
    <pivotField showAll="0"/>
    <pivotField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1"/>
  </rowFields>
  <rowItems count="3">
    <i>
      <x v="1"/>
    </i>
    <i>
      <x v="2"/>
    </i>
    <i t="grand">
      <x/>
    </i>
  </rowItems>
  <colItems count="1">
    <i/>
  </colItems>
  <dataFields count="1">
    <dataField name="Soma de Valor" fld="4" baseField="0" baseItem="0"/>
  </dataFields>
  <formats count="1">
    <format dxfId="5">
      <pivotArea collapsedLevelsAreSubtotals="1" fieldPosition="0">
        <references count="1">
          <reference field="1" count="1"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660BED5-9C1B-479A-BFE8-3D04132B5193}" name="Tabela dinâmica5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26">
  <location ref="L5:M8" firstHeaderRow="1" firstDataRow="1" firstDataCol="1" rowPageCount="1" colPageCount="1"/>
  <pivotFields count="12">
    <pivotField axis="axisRow" showAll="0" sortType="descending">
      <items count="148">
        <item m="1" x="140"/>
        <item x="6"/>
        <item x="59"/>
        <item m="1" x="144"/>
        <item m="1" x="137"/>
        <item m="1" x="136"/>
        <item m="1" x="142"/>
        <item x="30"/>
        <item x="9"/>
        <item x="46"/>
        <item m="1" x="133"/>
        <item x="62"/>
        <item x="7"/>
        <item x="16"/>
        <item x="39"/>
        <item m="1" x="141"/>
        <item x="11"/>
        <item m="1" x="126"/>
        <item m="1" x="131"/>
        <item x="25"/>
        <item m="1" x="134"/>
        <item m="1" x="129"/>
        <item x="61"/>
        <item m="1" x="138"/>
        <item x="34"/>
        <item m="1" x="146"/>
        <item m="1" x="127"/>
        <item m="1" x="132"/>
        <item m="1" x="139"/>
        <item m="1" x="130"/>
        <item x="68"/>
        <item x="42"/>
        <item m="1" x="116"/>
        <item m="1" x="143"/>
        <item m="1" x="128"/>
        <item x="96"/>
        <item x="10"/>
        <item m="1" x="135"/>
        <item m="1" x="145"/>
        <item x="72"/>
        <item x="114"/>
        <item x="0"/>
        <item x="1"/>
        <item x="2"/>
        <item x="3"/>
        <item x="4"/>
        <item x="5"/>
        <item m="1" x="125"/>
        <item x="8"/>
        <item x="13"/>
        <item x="14"/>
        <item x="15"/>
        <item x="17"/>
        <item x="18"/>
        <item x="19"/>
        <item x="20"/>
        <item x="21"/>
        <item x="22"/>
        <item x="23"/>
        <item x="24"/>
        <item x="108"/>
        <item x="26"/>
        <item x="27"/>
        <item x="28"/>
        <item x="29"/>
        <item x="31"/>
        <item x="32"/>
        <item x="33"/>
        <item x="35"/>
        <item x="36"/>
        <item x="37"/>
        <item x="38"/>
        <item x="12"/>
        <item x="40"/>
        <item x="41"/>
        <item m="1" x="124"/>
        <item m="1" x="121"/>
        <item x="43"/>
        <item x="44"/>
        <item x="45"/>
        <item x="47"/>
        <item x="48"/>
        <item x="49"/>
        <item x="50"/>
        <item x="52"/>
        <item x="53"/>
        <item x="54"/>
        <item x="55"/>
        <item x="56"/>
        <item x="57"/>
        <item x="58"/>
        <item x="60"/>
        <item m="1" x="122"/>
        <item x="64"/>
        <item x="65"/>
        <item m="1" x="117"/>
        <item x="66"/>
        <item m="1" x="120"/>
        <item x="67"/>
        <item x="51"/>
        <item x="69"/>
        <item m="1" x="123"/>
        <item x="70"/>
        <item x="71"/>
        <item x="73"/>
        <item x="74"/>
        <item x="75"/>
        <item x="76"/>
        <item x="77"/>
        <item x="63"/>
        <item x="78"/>
        <item x="79"/>
        <item x="81"/>
        <item x="82"/>
        <item x="80"/>
        <item x="83"/>
        <item x="84"/>
        <item x="85"/>
        <item x="86"/>
        <item x="87"/>
        <item x="88"/>
        <item x="89"/>
        <item x="90"/>
        <item m="1" x="118"/>
        <item m="1" x="119"/>
        <item x="92"/>
        <item x="93"/>
        <item x="94"/>
        <item x="95"/>
        <item x="91"/>
        <item x="97"/>
        <item x="98"/>
        <item m="1" x="115"/>
        <item x="100"/>
        <item x="101"/>
        <item x="102"/>
        <item x="103"/>
        <item x="104"/>
        <item x="99"/>
        <item x="105"/>
        <item x="106"/>
        <item x="107"/>
        <item x="109"/>
        <item x="110"/>
        <item x="111"/>
        <item x="112"/>
        <item x="11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 sortType="descending">
      <items count="12">
        <item x="7"/>
        <item x="8"/>
        <item x="9"/>
        <item x="2"/>
        <item x="1"/>
        <item x="4"/>
        <item x="5"/>
        <item x="6"/>
        <item x="0"/>
        <item x="3"/>
        <item x="1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dataField="1" showAll="0"/>
    <pivotField showAll="0"/>
    <pivotField showAll="0">
      <items count="66">
        <item x="0"/>
        <item x="1"/>
        <item x="2"/>
        <item x="3"/>
        <item x="4"/>
        <item x="5"/>
        <item x="6"/>
        <item x="7"/>
        <item x="9"/>
        <item x="10"/>
        <item x="8"/>
        <item x="11"/>
        <item x="12"/>
        <item x="13"/>
        <item x="14"/>
        <item x="15"/>
        <item x="16"/>
        <item x="17"/>
        <item x="21"/>
        <item x="22"/>
        <item x="23"/>
        <item x="24"/>
        <item x="18"/>
        <item x="19"/>
        <item x="25"/>
        <item x="26"/>
        <item x="27"/>
        <item x="29"/>
        <item x="30"/>
        <item x="31"/>
        <item x="20"/>
        <item x="32"/>
        <item x="33"/>
        <item x="34"/>
        <item m="1" x="64"/>
        <item x="28"/>
        <item x="51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m="1" x="62"/>
        <item x="49"/>
        <item x="50"/>
        <item x="47"/>
        <item x="52"/>
        <item x="53"/>
        <item m="1" x="63"/>
        <item x="55"/>
        <item x="56"/>
        <item x="57"/>
        <item x="48"/>
        <item x="58"/>
        <item x="54"/>
        <item x="59"/>
        <item m="1" x="61"/>
        <item x="60"/>
        <item t="default"/>
      </items>
    </pivotField>
    <pivotField axis="axisRow" showAll="0" sortType="descending">
      <items count="6">
        <item x="4"/>
        <item x="0"/>
        <item x="3"/>
        <item x="1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Page" multipleItemSelectionAllowed="1" showAll="0">
      <items count="9">
        <item h="1" m="1" x="7"/>
        <item h="1" x="4"/>
        <item h="1" x="0"/>
        <item h="1" x="1"/>
        <item h="1" x="2"/>
        <item h="1" m="1" x="6"/>
        <item h="1" x="3"/>
        <item x="5"/>
        <item t="default"/>
      </items>
    </pivotField>
    <pivotField multipleItemSelectionAllowed="1"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2">
    <field x="7"/>
    <field x="0"/>
  </rowFields>
  <rowItems count="3">
    <i>
      <x v="1"/>
    </i>
    <i r="1">
      <x v="12"/>
    </i>
    <i t="grand">
      <x/>
    </i>
  </rowItems>
  <colItems count="1">
    <i/>
  </colItems>
  <pageFields count="1">
    <pageField fld="8" hier="-1"/>
  </pageFields>
  <dataFields count="1">
    <dataField name="Soma de Valor" fld="4" baseField="0" baseItem="22" numFmtId="164"/>
  </dataFields>
  <chartFormats count="4"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7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CE02942-A923-4157-B55B-D20FA1B33B22}" name="Tabela dinâmica8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6">
  <location ref="AA4:AB7" firstHeaderRow="1" firstDataRow="1" firstDataCol="1" rowPageCount="1" colPageCount="1"/>
  <pivotFields count="12">
    <pivotField axis="axisRow" showAll="0" sortType="descending">
      <items count="148">
        <item m="1" x="140"/>
        <item x="50"/>
        <item x="22"/>
        <item x="56"/>
        <item x="6"/>
        <item x="59"/>
        <item m="1" x="144"/>
        <item m="1" x="137"/>
        <item x="38"/>
        <item m="1" x="121"/>
        <item m="1" x="136"/>
        <item m="1" x="142"/>
        <item x="30"/>
        <item x="54"/>
        <item x="24"/>
        <item x="35"/>
        <item x="28"/>
        <item x="9"/>
        <item x="31"/>
        <item x="46"/>
        <item m="1" x="133"/>
        <item x="62"/>
        <item x="7"/>
        <item m="1" x="125"/>
        <item x="16"/>
        <item x="47"/>
        <item x="21"/>
        <item x="39"/>
        <item x="0"/>
        <item x="36"/>
        <item m="1" x="141"/>
        <item x="52"/>
        <item x="1"/>
        <item x="11"/>
        <item x="55"/>
        <item m="1" x="126"/>
        <item m="1" x="131"/>
        <item x="25"/>
        <item x="48"/>
        <item x="20"/>
        <item m="1" x="134"/>
        <item m="1" x="129"/>
        <item x="15"/>
        <item x="61"/>
        <item m="1" x="124"/>
        <item x="53"/>
        <item x="17"/>
        <item x="40"/>
        <item m="1" x="138"/>
        <item x="34"/>
        <item x="49"/>
        <item x="26"/>
        <item m="1" x="146"/>
        <item x="27"/>
        <item m="1" x="127"/>
        <item x="41"/>
        <item m="1" x="132"/>
        <item m="1" x="139"/>
        <item x="33"/>
        <item x="45"/>
        <item m="1" x="130"/>
        <item x="68"/>
        <item x="42"/>
        <item x="5"/>
        <item x="19"/>
        <item x="37"/>
        <item x="13"/>
        <item m="1" x="116"/>
        <item x="108"/>
        <item x="23"/>
        <item m="1" x="143"/>
        <item x="2"/>
        <item m="1" x="128"/>
        <item x="4"/>
        <item x="18"/>
        <item x="96"/>
        <item x="43"/>
        <item x="14"/>
        <item x="32"/>
        <item x="8"/>
        <item x="29"/>
        <item x="10"/>
        <item m="1" x="135"/>
        <item m="1" x="145"/>
        <item x="12"/>
        <item x="72"/>
        <item x="44"/>
        <item x="3"/>
        <item x="114"/>
        <item x="57"/>
        <item x="58"/>
        <item x="60"/>
        <item m="1" x="122"/>
        <item x="64"/>
        <item x="65"/>
        <item m="1" x="117"/>
        <item x="66"/>
        <item m="1" x="120"/>
        <item x="67"/>
        <item x="51"/>
        <item x="69"/>
        <item m="1" x="123"/>
        <item x="70"/>
        <item x="71"/>
        <item x="73"/>
        <item x="74"/>
        <item x="75"/>
        <item x="76"/>
        <item x="77"/>
        <item x="63"/>
        <item x="78"/>
        <item x="79"/>
        <item x="81"/>
        <item x="82"/>
        <item x="80"/>
        <item x="83"/>
        <item x="84"/>
        <item x="85"/>
        <item x="86"/>
        <item x="87"/>
        <item x="88"/>
        <item x="89"/>
        <item x="90"/>
        <item m="1" x="118"/>
        <item m="1" x="119"/>
        <item x="92"/>
        <item x="93"/>
        <item x="94"/>
        <item x="95"/>
        <item x="91"/>
        <item x="97"/>
        <item x="98"/>
        <item m="1" x="115"/>
        <item x="100"/>
        <item x="101"/>
        <item x="102"/>
        <item x="103"/>
        <item x="104"/>
        <item x="99"/>
        <item x="105"/>
        <item x="106"/>
        <item x="107"/>
        <item x="109"/>
        <item x="110"/>
        <item x="111"/>
        <item x="112"/>
        <item x="11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dataField="1" showAll="0"/>
    <pivotField showAll="0"/>
    <pivotField showAll="0">
      <items count="66">
        <item x="0"/>
        <item x="1"/>
        <item x="2"/>
        <item x="3"/>
        <item x="4"/>
        <item x="5"/>
        <item x="6"/>
        <item x="7"/>
        <item x="9"/>
        <item x="10"/>
        <item x="8"/>
        <item x="11"/>
        <item x="12"/>
        <item x="13"/>
        <item x="14"/>
        <item x="15"/>
        <item x="16"/>
        <item x="17"/>
        <item x="21"/>
        <item x="22"/>
        <item x="23"/>
        <item x="24"/>
        <item x="18"/>
        <item x="19"/>
        <item x="25"/>
        <item x="26"/>
        <item x="27"/>
        <item x="29"/>
        <item x="30"/>
        <item x="31"/>
        <item x="20"/>
        <item x="32"/>
        <item x="33"/>
        <item x="34"/>
        <item m="1" x="64"/>
        <item x="28"/>
        <item x="51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m="1" x="62"/>
        <item x="49"/>
        <item x="50"/>
        <item x="47"/>
        <item x="52"/>
        <item x="53"/>
        <item m="1" x="63"/>
        <item x="55"/>
        <item x="56"/>
        <item x="57"/>
        <item x="48"/>
        <item x="58"/>
        <item x="54"/>
        <item x="59"/>
        <item m="1" x="61"/>
        <item x="60"/>
        <item t="default"/>
      </items>
    </pivotField>
    <pivotField axis="axisRow" showAll="0" sortType="descending">
      <items count="6">
        <item h="1" x="4"/>
        <item x="0"/>
        <item h="1" x="3"/>
        <item h="1" x="1"/>
        <item h="1"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Page" multipleItemSelectionAllowed="1" showAll="0">
      <items count="9">
        <item h="1" x="0"/>
        <item h="1" x="1"/>
        <item h="1" m="1" x="7"/>
        <item h="1" x="4"/>
        <item h="1" x="2"/>
        <item h="1" m="1" x="6"/>
        <item h="1" x="3"/>
        <item x="5"/>
        <item t="default"/>
      </items>
    </pivotField>
    <pivotField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2">
    <field x="7"/>
    <field x="0"/>
  </rowFields>
  <rowItems count="3">
    <i>
      <x v="1"/>
    </i>
    <i r="1">
      <x v="22"/>
    </i>
    <i t="grand">
      <x/>
    </i>
  </rowItems>
  <colItems count="1">
    <i/>
  </colItems>
  <pageFields count="1">
    <pageField fld="8" hier="-1"/>
  </pageFields>
  <dataFields count="1">
    <dataField name="Soma de Valor" fld="4" baseField="0" baseItem="0"/>
  </dataFields>
  <chartFormats count="1"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F35F00F-21BE-42D5-80B1-361A4CC032B7}" name="Tabela dinâmica3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2">
  <location ref="B5:C7" firstHeaderRow="1" firstDataRow="1" firstDataCol="1" rowPageCount="1" colPageCount="1"/>
  <pivotFields count="12">
    <pivotField showAll="0"/>
    <pivotField showAll="0"/>
    <pivotField axis="axisRow" showAll="0" sortType="descending">
      <items count="12">
        <item x="7"/>
        <item x="8"/>
        <item x="2"/>
        <item x="1"/>
        <item x="4"/>
        <item x="5"/>
        <item h="1" x="6"/>
        <item x="3"/>
        <item h="1" x="10"/>
        <item h="1" x="0"/>
        <item x="9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dataField="1" showAll="0"/>
    <pivotField showAll="0"/>
    <pivotField showAll="0">
      <items count="66">
        <item x="0"/>
        <item x="1"/>
        <item x="2"/>
        <item x="3"/>
        <item x="4"/>
        <item x="5"/>
        <item x="6"/>
        <item x="7"/>
        <item x="9"/>
        <item x="10"/>
        <item x="8"/>
        <item x="11"/>
        <item x="12"/>
        <item x="13"/>
        <item x="14"/>
        <item x="15"/>
        <item x="16"/>
        <item x="17"/>
        <item x="21"/>
        <item x="22"/>
        <item x="23"/>
        <item x="24"/>
        <item x="18"/>
        <item x="19"/>
        <item x="25"/>
        <item x="26"/>
        <item x="27"/>
        <item x="29"/>
        <item x="30"/>
        <item x="31"/>
        <item x="20"/>
        <item x="32"/>
        <item x="33"/>
        <item x="34"/>
        <item m="1" x="64"/>
        <item x="28"/>
        <item x="51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m="1" x="62"/>
        <item x="49"/>
        <item x="50"/>
        <item x="47"/>
        <item x="52"/>
        <item x="53"/>
        <item m="1" x="63"/>
        <item x="55"/>
        <item x="56"/>
        <item x="57"/>
        <item x="48"/>
        <item x="58"/>
        <item x="54"/>
        <item x="59"/>
        <item m="1" x="61"/>
        <item x="60"/>
        <item t="default"/>
      </items>
    </pivotField>
    <pivotField showAll="0"/>
    <pivotField axis="axisPage" multipleItemSelectionAllowed="1" showAll="0">
      <items count="9">
        <item h="1" m="1" x="7"/>
        <item h="1" x="4"/>
        <item h="1" x="0"/>
        <item h="1" x="1"/>
        <item h="1" x="2"/>
        <item h="1" m="1" x="6"/>
        <item h="1" x="3"/>
        <item x="5"/>
        <item t="default"/>
      </items>
    </pivotField>
    <pivotField multipleItemSelectionAllowed="1"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2"/>
  </rowFields>
  <rowItems count="2">
    <i>
      <x v="3"/>
    </i>
    <i t="grand">
      <x/>
    </i>
  </rowItems>
  <colItems count="1">
    <i/>
  </colItems>
  <pageFields count="1">
    <pageField fld="8" hier="-1"/>
  </pageFields>
  <dataFields count="1">
    <dataField name="Soma de Valor" fld="4" baseField="2" baseItem="6" numFmtId="164"/>
  </dataFields>
  <formats count="2">
    <format dxfId="7">
      <pivotArea collapsedLevelsAreSubtotals="1" fieldPosition="0">
        <references count="1">
          <reference field="2" count="7">
            <x v="0"/>
            <x v="1"/>
            <x v="2"/>
            <x v="3"/>
            <x v="4"/>
            <x v="5"/>
            <x v="7"/>
          </reference>
        </references>
      </pivotArea>
    </format>
    <format dxfId="6">
      <pivotArea outline="0" fieldPosition="0">
        <references count="1">
          <reference field="4294967294" count="1">
            <x v="0"/>
          </reference>
        </references>
      </pivotArea>
    </format>
  </formats>
  <chartFormats count="1">
    <chartFormat chart="7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Mês" xr10:uid="{AA7CB69D-3113-4134-A435-B80542B02405}" sourceName="Mês">
  <pivotTables>
    <pivotTable tabId="7" name="Tabela dinâmica3"/>
    <pivotTable tabId="7" name="Tabela dinâmica1"/>
    <pivotTable tabId="7" name="Tabela dinâmica4"/>
    <pivotTable tabId="7" name="Tabela dinâmica5"/>
    <pivotTable tabId="7" name="Tabela dinâmica6"/>
    <pivotTable tabId="7" name="Tabela dinâmica8"/>
    <pivotTable tabId="7" name="Tabela dinâmica2"/>
  </pivotTables>
  <data>
    <tabular pivotCacheId="594627887">
      <items count="8">
        <i x="0"/>
        <i x="1"/>
        <i x="2"/>
        <i x="3"/>
        <i x="5" s="1"/>
        <i x="4"/>
        <i x="6" nd="1"/>
        <i x="7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Tag" xr10:uid="{DA4C5AE3-7F4C-4245-8A27-8B806368DC72}" sourceName="Tag">
  <pivotTables>
    <pivotTable tabId="7" name="Tabela dinâmica5"/>
  </pivotTables>
  <data>
    <tabular pivotCacheId="594627887">
      <items count="11">
        <i x="1" s="1"/>
        <i x="7" s="1" nd="1"/>
        <i x="8" s="1" nd="1"/>
        <i x="9" s="1" nd="1"/>
        <i x="2" s="1" nd="1"/>
        <i x="4" s="1" nd="1"/>
        <i x="5" s="1" nd="1"/>
        <i x="6" s="1" nd="1"/>
        <i x="0" s="1" nd="1"/>
        <i x="3" s="1" nd="1"/>
        <i x="10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Categoria_de_despesa" xr10:uid="{1654AC2D-1992-4343-92F9-A0EBEA2A6277}" sourceName="Categoria de despesa">
  <pivotTables>
    <pivotTable tabId="7" name="Tabela dinâmica8"/>
    <pivotTable tabId="7" name="Tabela dinâmica2"/>
  </pivotTables>
  <data>
    <tabular pivotCacheId="594627887">
      <items count="5">
        <i x="0" s="1"/>
        <i x="4" nd="1"/>
        <i x="3" nd="1"/>
        <i x="1" nd="1"/>
        <i x="2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Caches/slicerCache4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Data_do_Pagamento___Compra" xr10:uid="{47851974-C15D-4841-B784-265C1770F683}" sourceName="Data do Pagamento / Compra">
  <pivotTables>
    <pivotTable tabId="7" name="Tabela dinâmica2"/>
  </pivotTables>
  <data>
    <tabular pivotCacheId="594627887">
      <items count="65">
        <i x="54"/>
        <i x="0" nd="1"/>
        <i x="1" nd="1"/>
        <i x="2" nd="1"/>
        <i x="3" nd="1"/>
        <i x="4" nd="1"/>
        <i x="5" nd="1"/>
        <i x="6" nd="1"/>
        <i x="7" nd="1"/>
        <i x="9" nd="1"/>
        <i x="10" nd="1"/>
        <i x="8" nd="1"/>
        <i x="11" nd="1"/>
        <i x="12" nd="1"/>
        <i x="13" nd="1"/>
        <i x="14" nd="1"/>
        <i x="15" nd="1"/>
        <i x="16" nd="1"/>
        <i x="17" nd="1"/>
        <i x="21" nd="1"/>
        <i x="22" nd="1"/>
        <i x="23" nd="1"/>
        <i x="24" nd="1"/>
        <i x="18" nd="1"/>
        <i x="19" nd="1"/>
        <i x="25" nd="1"/>
        <i x="26" nd="1"/>
        <i x="27" nd="1"/>
        <i x="29" nd="1"/>
        <i x="30" nd="1"/>
        <i x="31" nd="1"/>
        <i x="20" nd="1"/>
        <i x="32" nd="1"/>
        <i x="33" nd="1"/>
        <i x="34" nd="1"/>
        <i x="35" nd="1"/>
        <i x="36" nd="1"/>
        <i x="37" nd="1"/>
        <i x="38" nd="1"/>
        <i x="39" nd="1"/>
        <i x="64" nd="1"/>
        <i x="40" nd="1"/>
        <i x="41" nd="1"/>
        <i x="42" nd="1"/>
        <i x="43" nd="1"/>
        <i x="44" nd="1"/>
        <i x="61" nd="1"/>
        <i x="28" s="1" nd="1"/>
        <i x="45" nd="1"/>
        <i x="62" nd="1"/>
        <i x="46" nd="1"/>
        <i x="49" nd="1"/>
        <i x="50" nd="1"/>
        <i x="52" nd="1"/>
        <i x="53" nd="1"/>
        <i x="55" nd="1"/>
        <i x="58" nd="1"/>
        <i x="56" nd="1"/>
        <i x="57" nd="1"/>
        <i x="48" nd="1"/>
        <i x="59" nd="1"/>
        <i x="60" nd="1"/>
        <i x="47" nd="1"/>
        <i x="63" nd="1"/>
        <i x="5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Mês" xr10:uid="{8DDEB237-E2D2-42FC-BC1D-90701CE23578}" cache="SegmentaçãodeDados_Mês" caption="Mês" columnCount="12" style="SlicerStyleDark5" rowHeight="252000"/>
  <slicer name="Tag de Despesa" xr10:uid="{C6E6CE57-1AB4-4EF8-A3C5-042E7DE81FDA}" cache="SegmentaçãodeDados_Tag" caption="Descrição por TAG de Despesa" columnCount="2" style="SlicerStyleDark5" rowHeight="324000"/>
  <slicer name="Categoria de despesa" xr10:uid="{108C347F-62C1-4075-94D4-6DA24626F107}" cache="SegmentaçãodeDados_Categoria_de_despesa" caption="Categoria de despesa" columnCount="4" rowHeight="241300"/>
  <slicer name="Data do Pagamento / Compra" xr10:uid="{373E86E9-C151-4F93-8512-BBA3E4992B68}" cache="SegmentaçãodeDados_Data_do_Pagamento___Compra" caption="Data do Pagamento / Compra" columnCount="5" rowHeight="2413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7882002-9DA6-488B-B6DC-052A41251F06}" name="Tabela1" displayName="Tabela1" ref="A3:J521" totalsRowCount="1" headerRowDxfId="33" dataDxfId="31" totalsRowDxfId="29" headerRowBorderDxfId="32" tableBorderDxfId="30" totalsRowBorderDxfId="28" headerRowCellStyle="Moeda">
  <autoFilter ref="A3:J520" xr:uid="{B7882002-9DA6-488B-B6DC-052A41251F06}">
    <filterColumn colId="0">
      <filters>
        <filter val="Cooper"/>
      </filters>
    </filterColumn>
  </autoFilter>
  <tableColumns count="10">
    <tableColumn id="1" xr3:uid="{D8FF1878-FA60-4534-9887-9D94A383BFA6}" name="Descrição" totalsRowLabel="Total" dataDxfId="27" totalsRowDxfId="26"/>
    <tableColumn id="2" xr3:uid="{21F6DE5C-95A6-4DCB-B4E9-9264D7D36ECC}" name="Caixa" dataDxfId="25" totalsRowDxfId="24"/>
    <tableColumn id="3" xr3:uid="{9B97E8D7-22CF-4EAE-81CF-0A8654BD64DB}" name="Tag" dataDxfId="23" totalsRowDxfId="22"/>
    <tableColumn id="4" xr3:uid="{AB9E5985-8EB0-4381-8CAF-B005B326D423}" name="Forma de Pagamento" dataDxfId="21" totalsRowDxfId="20"/>
    <tableColumn id="5" xr3:uid="{F6C91037-DABD-4630-A0BE-186E4F5C103E}" name="Valor" totalsRowFunction="custom" dataDxfId="19" totalsRowDxfId="18" dataCellStyle="Moeda">
      <totalsRowFormula>SUM(E93:E150)</totalsRowFormula>
    </tableColumn>
    <tableColumn id="6" xr3:uid="{0493E43D-9015-476B-A8B0-5C39456CD939}" name="Data de Compra" dataDxfId="17" totalsRowDxfId="16"/>
    <tableColumn id="7" xr3:uid="{953B7FC5-B863-4081-9A64-83375F17F4BA}" name="Data do Pagamento / Compra" dataDxfId="15" totalsRowDxfId="14"/>
    <tableColumn id="10" xr3:uid="{619879DF-977E-4D77-BF16-CBD197ED29F4}" name="Categoria de despesa" dataDxfId="13" totalsRowDxfId="12">
      <calculatedColumnFormula>IFERROR(VLOOKUP(Tabela1[[#This Row],[Tag]],TAGS!$J$1:$K$11,2,0),"")</calculatedColumnFormula>
    </tableColumn>
    <tableColumn id="8" xr3:uid="{EB33D579-4A02-4061-9B36-2EEADF14731F}" name="Mês" dataDxfId="11" totalsRowDxfId="10">
      <calculatedColumnFormula>IF(G4="","",TEXT(G4,"mmmm"))</calculatedColumnFormula>
    </tableColumn>
    <tableColumn id="9" xr3:uid="{5A80CC4C-2DA0-42D7-BEBD-C0D91D204EC8}" name="Status" dataDxfId="9" totalsRowDxfId="8">
      <calculatedColumnFormula>IF(Tabela1[[#This Row],[Caixa]]="Receita","Recebido",IF(F4="","",IF(G4="","",IF(G4&lt;F4,"Pago atrasado",IF(Tabela1[[#This Row],[Data do Pagamento / Compra]]&gt;Tabela1[[#This Row],[Data de Compra]],"Pago","Pago")))))</calculatedColumnFormula>
    </tableColumn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Yu Gothic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Yu Gothic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openxmlformats.org/officeDocument/2006/relationships/comments" Target="../comments1.xm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8" tint="-0.499984740745262"/>
  </sheetPr>
  <dimension ref="A1:P521"/>
  <sheetViews>
    <sheetView showGridLines="0" zoomScale="120" zoomScaleNormal="120" workbookViewId="0">
      <pane ySplit="3" topLeftCell="A4" activePane="bottomLeft" state="frozen"/>
      <selection pane="bottomLeft" activeCell="G329" sqref="G329"/>
    </sheetView>
  </sheetViews>
  <sheetFormatPr defaultRowHeight="11.25" x14ac:dyDescent="0.2"/>
  <cols>
    <col min="1" max="1" width="18.42578125" style="54" customWidth="1"/>
    <col min="2" max="2" width="16.140625" style="54" customWidth="1"/>
    <col min="3" max="3" width="15.5703125" style="54" bestFit="1" customWidth="1"/>
    <col min="4" max="4" width="20" style="54" bestFit="1" customWidth="1"/>
    <col min="5" max="5" width="11.5703125" style="55" bestFit="1" customWidth="1"/>
    <col min="6" max="6" width="22.5703125" style="56" customWidth="1"/>
    <col min="7" max="7" width="21.7109375" style="56" customWidth="1"/>
    <col min="8" max="8" width="15.5703125" style="54" customWidth="1"/>
    <col min="9" max="9" width="18.42578125" style="56" customWidth="1"/>
    <col min="10" max="10" width="23.7109375" style="54" bestFit="1" customWidth="1"/>
    <col min="11" max="11" width="9.140625" style="23" customWidth="1"/>
    <col min="12" max="15" width="9.140625" style="23"/>
    <col min="16" max="16" width="12.7109375" style="23" bestFit="1" customWidth="1"/>
    <col min="17" max="16384" width="9.140625" style="23"/>
  </cols>
  <sheetData>
    <row r="1" spans="1:16" ht="27" x14ac:dyDescent="0.4">
      <c r="A1" s="19"/>
      <c r="B1" s="19"/>
      <c r="C1" s="19"/>
      <c r="D1" s="19"/>
      <c r="E1" s="20"/>
      <c r="F1" s="21"/>
      <c r="G1" s="22"/>
      <c r="H1" s="19"/>
      <c r="I1" s="22"/>
      <c r="J1" s="22"/>
    </row>
    <row r="2" spans="1:16" s="25" customFormat="1" ht="27.75" customHeight="1" x14ac:dyDescent="0.4">
      <c r="A2" s="24" t="s">
        <v>45</v>
      </c>
      <c r="B2" s="22"/>
      <c r="C2" s="22"/>
      <c r="D2" s="22"/>
      <c r="E2" s="22"/>
      <c r="F2" s="22"/>
      <c r="G2" s="22"/>
      <c r="H2" s="22"/>
      <c r="I2" s="22"/>
      <c r="J2" s="22"/>
      <c r="P2" s="26"/>
    </row>
    <row r="3" spans="1:16" ht="21" customHeight="1" x14ac:dyDescent="0.2">
      <c r="A3" s="27" t="s">
        <v>0</v>
      </c>
      <c r="B3" s="28" t="s">
        <v>27</v>
      </c>
      <c r="C3" s="28" t="s">
        <v>30</v>
      </c>
      <c r="D3" s="28" t="s">
        <v>1</v>
      </c>
      <c r="E3" s="29" t="s">
        <v>32</v>
      </c>
      <c r="F3" s="30" t="s">
        <v>172</v>
      </c>
      <c r="G3" s="30" t="s">
        <v>16</v>
      </c>
      <c r="H3" s="28" t="s">
        <v>39</v>
      </c>
      <c r="I3" s="30" t="s">
        <v>26</v>
      </c>
      <c r="J3" s="31" t="s">
        <v>6</v>
      </c>
      <c r="K3" s="32"/>
    </row>
    <row r="4" spans="1:16" ht="21" hidden="1" customHeight="1" x14ac:dyDescent="0.2">
      <c r="A4" s="33" t="s">
        <v>46</v>
      </c>
      <c r="B4" s="34" t="s">
        <v>29</v>
      </c>
      <c r="C4" s="34" t="s">
        <v>47</v>
      </c>
      <c r="D4" s="34" t="s">
        <v>15</v>
      </c>
      <c r="E4" s="35">
        <v>12.34</v>
      </c>
      <c r="F4" s="36">
        <v>45293</v>
      </c>
      <c r="G4" s="36">
        <v>45293</v>
      </c>
      <c r="H4" s="37" t="str">
        <f>IFERROR(VLOOKUP(Tabela1[[#This Row],[Tag]],TAGS!$J$1:$K$11,2,0),"")</f>
        <v>Essencial</v>
      </c>
      <c r="I4" s="38" t="str">
        <f>IF(G4="","",TEXT(G4,"mmmm"))</f>
        <v>janeiro</v>
      </c>
      <c r="J4" s="39" t="str">
        <f>IF(Tabela1[[#This Row],[Caixa]]="Receita","Recebido",IF(F4="","",IF(G4="","",IF(G4&lt;F4,"Pago atrasado",IF(Tabela1[[#This Row],[Data do Pagamento / Compra]]&gt;Tabela1[[#This Row],[Data de Compra]],"Pago","Pago")))))</f>
        <v>Pago</v>
      </c>
    </row>
    <row r="5" spans="1:16" ht="21" hidden="1" customHeight="1" x14ac:dyDescent="0.2">
      <c r="A5" s="33" t="s">
        <v>48</v>
      </c>
      <c r="B5" s="34" t="s">
        <v>29</v>
      </c>
      <c r="C5" s="34" t="s">
        <v>12</v>
      </c>
      <c r="D5" s="34" t="s">
        <v>15</v>
      </c>
      <c r="E5" s="35">
        <v>139.93</v>
      </c>
      <c r="F5" s="36">
        <v>45293</v>
      </c>
      <c r="G5" s="36">
        <v>45293</v>
      </c>
      <c r="H5" s="37" t="str">
        <f>IFERROR(VLOOKUP(Tabela1[[#This Row],[Tag]],TAGS!$J$1:$K$11,2,0),"")</f>
        <v>Essencial</v>
      </c>
      <c r="I5" s="38" t="str">
        <f t="shared" ref="I5:I67" si="0">IF(G5="","",TEXT(G5,"mmmm"))</f>
        <v>janeiro</v>
      </c>
      <c r="J5" s="39" t="str">
        <f>IF(Tabela1[[#This Row],[Caixa]]="Receita","Recebido",IF(F5="","",IF(G5="","",IF(G5&lt;F5,"Pago atrasado",IF(Tabela1[[#This Row],[Data do Pagamento / Compra]]&gt;Tabela1[[#This Row],[Data de Compra]],"Pago","Pago")))))</f>
        <v>Pago</v>
      </c>
    </row>
    <row r="6" spans="1:16" ht="21" hidden="1" customHeight="1" x14ac:dyDescent="0.2">
      <c r="A6" s="33" t="s">
        <v>49</v>
      </c>
      <c r="B6" s="34" t="s">
        <v>29</v>
      </c>
      <c r="C6" s="34" t="s">
        <v>47</v>
      </c>
      <c r="D6" s="34" t="s">
        <v>15</v>
      </c>
      <c r="E6" s="35">
        <v>87</v>
      </c>
      <c r="F6" s="36">
        <v>45293</v>
      </c>
      <c r="G6" s="36">
        <v>45293</v>
      </c>
      <c r="H6" s="37" t="str">
        <f>IFERROR(VLOOKUP(Tabela1[[#This Row],[Tag]],TAGS!$J$1:$K$11,2,0),"")</f>
        <v>Essencial</v>
      </c>
      <c r="I6" s="38" t="str">
        <f t="shared" si="0"/>
        <v>janeiro</v>
      </c>
      <c r="J6" s="39" t="str">
        <f>IF(Tabela1[[#This Row],[Caixa]]="Receita","Recebido",IF(F6="","",IF(G6="","",IF(G6&lt;F6,"Pago atrasado",IF(Tabela1[[#This Row],[Data do Pagamento / Compra]]&gt;Tabela1[[#This Row],[Data de Compra]],"Pago","Pago")))))</f>
        <v>Pago</v>
      </c>
    </row>
    <row r="7" spans="1:16" ht="21" hidden="1" customHeight="1" x14ac:dyDescent="0.2">
      <c r="A7" s="33" t="s">
        <v>50</v>
      </c>
      <c r="B7" s="34" t="s">
        <v>29</v>
      </c>
      <c r="C7" s="34" t="s">
        <v>12</v>
      </c>
      <c r="D7" s="34" t="s">
        <v>15</v>
      </c>
      <c r="E7" s="35">
        <v>34.97</v>
      </c>
      <c r="F7" s="36">
        <v>45293</v>
      </c>
      <c r="G7" s="36">
        <v>45293</v>
      </c>
      <c r="H7" s="37" t="str">
        <f>IFERROR(VLOOKUP(Tabela1[[#This Row],[Tag]],TAGS!$J$1:$K$11,2,0),"")</f>
        <v>Essencial</v>
      </c>
      <c r="I7" s="38" t="str">
        <f t="shared" si="0"/>
        <v>janeiro</v>
      </c>
      <c r="J7" s="39" t="str">
        <f>IF(Tabela1[[#This Row],[Caixa]]="Receita","Recebido",IF(F7="","",IF(G7="","",IF(G7&lt;F7,"Pago atrasado",IF(Tabela1[[#This Row],[Data do Pagamento / Compra]]&gt;Tabela1[[#This Row],[Data de Compra]],"Pago","Pago")))))</f>
        <v>Pago</v>
      </c>
      <c r="K7" s="23" t="s">
        <v>37</v>
      </c>
    </row>
    <row r="8" spans="1:16" ht="21" hidden="1" customHeight="1" x14ac:dyDescent="0.2">
      <c r="A8" s="33" t="s">
        <v>51</v>
      </c>
      <c r="B8" s="34" t="s">
        <v>29</v>
      </c>
      <c r="C8" s="34" t="s">
        <v>14</v>
      </c>
      <c r="D8" s="34" t="s">
        <v>15</v>
      </c>
      <c r="E8" s="35">
        <v>40</v>
      </c>
      <c r="F8" s="36">
        <v>45293</v>
      </c>
      <c r="G8" s="36">
        <v>45293</v>
      </c>
      <c r="H8" s="37" t="str">
        <f>IFERROR(VLOOKUP(Tabela1[[#This Row],[Tag]],TAGS!$J$1:$K$11,2,0),"")</f>
        <v>Não essencial</v>
      </c>
      <c r="I8" s="38" t="str">
        <f t="shared" si="0"/>
        <v>janeiro</v>
      </c>
      <c r="J8" s="39" t="str">
        <f>IF(Tabela1[[#This Row],[Caixa]]="Receita","Recebido",IF(F8="","",IF(G8="","",IF(G8&lt;F8,"Pago atrasado",IF(Tabela1[[#This Row],[Data do Pagamento / Compra]]&gt;Tabela1[[#This Row],[Data de Compra]],"Pago","Pago")))))</f>
        <v>Pago</v>
      </c>
    </row>
    <row r="9" spans="1:16" ht="21" hidden="1" customHeight="1" x14ac:dyDescent="0.2">
      <c r="A9" s="33" t="s">
        <v>52</v>
      </c>
      <c r="B9" s="34" t="s">
        <v>29</v>
      </c>
      <c r="C9" s="34" t="s">
        <v>13</v>
      </c>
      <c r="D9" s="34" t="s">
        <v>15</v>
      </c>
      <c r="E9" s="35">
        <v>6.9</v>
      </c>
      <c r="F9" s="36">
        <v>45294</v>
      </c>
      <c r="G9" s="36">
        <v>45293</v>
      </c>
      <c r="H9" s="37" t="str">
        <f>IFERROR(VLOOKUP(Tabela1[[#This Row],[Tag]],TAGS!$J$1:$K$11,2,0),"")</f>
        <v>Essencial</v>
      </c>
      <c r="I9" s="38" t="str">
        <f t="shared" si="0"/>
        <v>janeiro</v>
      </c>
      <c r="J9" s="39" t="str">
        <f>IF(Tabela1[[#This Row],[Caixa]]="Receita","Recebido",IF(F9="","",IF(G9="","",IF(G9&lt;F9,"Pago atrasado",IF(Tabela1[[#This Row],[Data do Pagamento / Compra]]&gt;Tabela1[[#This Row],[Data de Compra]],"Pago","Pago")))))</f>
        <v>Pago atrasado</v>
      </c>
    </row>
    <row r="10" spans="1:16" ht="21" hidden="1" customHeight="1" x14ac:dyDescent="0.2">
      <c r="A10" s="33" t="s">
        <v>52</v>
      </c>
      <c r="B10" s="34" t="s">
        <v>29</v>
      </c>
      <c r="C10" s="34" t="s">
        <v>13</v>
      </c>
      <c r="D10" s="34" t="s">
        <v>15</v>
      </c>
      <c r="E10" s="35">
        <v>7.6</v>
      </c>
      <c r="F10" s="36">
        <v>45294</v>
      </c>
      <c r="G10" s="36">
        <v>45294</v>
      </c>
      <c r="H10" s="37" t="str">
        <f>IFERROR(VLOOKUP(Tabela1[[#This Row],[Tag]],TAGS!$J$1:$K$11,2,0),"")</f>
        <v>Essencial</v>
      </c>
      <c r="I10" s="38" t="str">
        <f t="shared" si="0"/>
        <v>janeiro</v>
      </c>
      <c r="J10" s="39" t="str">
        <f>IF(Tabela1[[#This Row],[Caixa]]="Receita","Recebido",IF(F10="","",IF(G10="","",IF(G10&lt;F10,"Pago atrasado",IF(Tabela1[[#This Row],[Data do Pagamento / Compra]]&gt;Tabela1[[#This Row],[Data de Compra]],"Pago","Pago")))))</f>
        <v>Pago</v>
      </c>
    </row>
    <row r="11" spans="1:16" ht="21" hidden="1" customHeight="1" x14ac:dyDescent="0.2">
      <c r="A11" s="33" t="s">
        <v>48</v>
      </c>
      <c r="B11" s="34" t="s">
        <v>29</v>
      </c>
      <c r="C11" s="34" t="s">
        <v>12</v>
      </c>
      <c r="D11" s="34" t="s">
        <v>15</v>
      </c>
      <c r="E11" s="35">
        <v>151.37</v>
      </c>
      <c r="F11" s="36">
        <v>45294</v>
      </c>
      <c r="G11" s="36">
        <v>45294</v>
      </c>
      <c r="H11" s="37" t="str">
        <f>IFERROR(VLOOKUP(Tabela1[[#This Row],[Tag]],TAGS!$J$1:$K$11,2,0),"")</f>
        <v>Essencial</v>
      </c>
      <c r="I11" s="38" t="str">
        <f t="shared" si="0"/>
        <v>janeiro</v>
      </c>
      <c r="J11" s="39" t="str">
        <f>IF(Tabela1[[#This Row],[Caixa]]="Receita","Recebido",IF(F11="","",IF(G11="","",IF(G11&lt;F11,"Pago atrasado",IF(Tabela1[[#This Row],[Data do Pagamento / Compra]]&gt;Tabela1[[#This Row],[Data de Compra]],"Pago","Pago")))))</f>
        <v>Pago</v>
      </c>
    </row>
    <row r="12" spans="1:16" ht="21" hidden="1" customHeight="1" x14ac:dyDescent="0.2">
      <c r="A12" s="33" t="s">
        <v>2</v>
      </c>
      <c r="B12" s="34" t="s">
        <v>29</v>
      </c>
      <c r="C12" s="34" t="s">
        <v>11</v>
      </c>
      <c r="D12" s="34" t="s">
        <v>3</v>
      </c>
      <c r="E12" s="35">
        <v>950</v>
      </c>
      <c r="F12" s="36">
        <v>45296</v>
      </c>
      <c r="G12" s="36">
        <v>45296</v>
      </c>
      <c r="H12" s="37" t="str">
        <f>IFERROR(VLOOKUP(Tabela1[[#This Row],[Tag]],TAGS!$J$1:$K$11,2,0),"")</f>
        <v>Essencial</v>
      </c>
      <c r="I12" s="38" t="str">
        <f t="shared" si="0"/>
        <v>janeiro</v>
      </c>
      <c r="J12" s="39" t="str">
        <f>IF(Tabela1[[#This Row],[Caixa]]="Receita","Recebido",IF(F12="","",IF(G12="","",IF(G12&lt;F12,"Pago atrasado",IF(Tabela1[[#This Row],[Data do Pagamento / Compra]]&gt;Tabela1[[#This Row],[Data de Compra]],"Pago","Pago")))))</f>
        <v>Pago</v>
      </c>
    </row>
    <row r="13" spans="1:16" ht="21" customHeight="1" x14ac:dyDescent="0.2">
      <c r="A13" s="33" t="s">
        <v>19</v>
      </c>
      <c r="B13" s="34" t="s">
        <v>29</v>
      </c>
      <c r="C13" s="34" t="s">
        <v>12</v>
      </c>
      <c r="D13" s="34" t="s">
        <v>15</v>
      </c>
      <c r="E13" s="35">
        <v>74.14</v>
      </c>
      <c r="F13" s="36">
        <v>45296</v>
      </c>
      <c r="G13" s="36">
        <v>45296</v>
      </c>
      <c r="H13" s="37" t="str">
        <f>IFERROR(VLOOKUP(Tabela1[[#This Row],[Tag]],TAGS!$J$1:$K$11,2,0),"")</f>
        <v>Essencial</v>
      </c>
      <c r="I13" s="38" t="str">
        <f t="shared" si="0"/>
        <v>janeiro</v>
      </c>
      <c r="J13" s="39" t="str">
        <f>IF(Tabela1[[#This Row],[Caixa]]="Receita","Recebido",IF(F13="","",IF(G13="","",IF(G13&lt;F13,"Pago atrasado",IF(Tabela1[[#This Row],[Data do Pagamento / Compra]]&gt;Tabela1[[#This Row],[Data de Compra]],"Pago","Pago")))))</f>
        <v>Pago</v>
      </c>
    </row>
    <row r="14" spans="1:16" ht="21" hidden="1" customHeight="1" x14ac:dyDescent="0.2">
      <c r="A14" s="33" t="s">
        <v>53</v>
      </c>
      <c r="B14" s="34" t="s">
        <v>29</v>
      </c>
      <c r="C14" s="34" t="s">
        <v>14</v>
      </c>
      <c r="D14" s="34" t="s">
        <v>15</v>
      </c>
      <c r="E14" s="35">
        <v>24</v>
      </c>
      <c r="F14" s="36">
        <v>45296</v>
      </c>
      <c r="G14" s="36">
        <v>45296</v>
      </c>
      <c r="H14" s="37" t="str">
        <f>IFERROR(VLOOKUP(Tabela1[[#This Row],[Tag]],TAGS!$J$1:$K$11,2,0),"")</f>
        <v>Não essencial</v>
      </c>
      <c r="I14" s="38" t="str">
        <f t="shared" si="0"/>
        <v>janeiro</v>
      </c>
      <c r="J14" s="39" t="str">
        <f>IF(Tabela1[[#This Row],[Caixa]]="Receita","Recebido",IF(F14="","",IF(G14="","",IF(G14&lt;F14,"Pago atrasado",IF(Tabela1[[#This Row],[Data do Pagamento / Compra]]&gt;Tabela1[[#This Row],[Data de Compra]],"Pago","Pago")))))</f>
        <v>Pago</v>
      </c>
    </row>
    <row r="15" spans="1:16" ht="21" hidden="1" customHeight="1" x14ac:dyDescent="0.2">
      <c r="A15" s="33" t="s">
        <v>52</v>
      </c>
      <c r="B15" s="34" t="s">
        <v>29</v>
      </c>
      <c r="C15" s="34" t="s">
        <v>13</v>
      </c>
      <c r="D15" s="34" t="s">
        <v>15</v>
      </c>
      <c r="E15" s="35">
        <v>8.3000000000000007</v>
      </c>
      <c r="F15" s="36">
        <v>45296</v>
      </c>
      <c r="G15" s="36">
        <v>45296</v>
      </c>
      <c r="H15" s="37" t="str">
        <f>IFERROR(VLOOKUP(Tabela1[[#This Row],[Tag]],TAGS!$J$1:$K$11,2,0),"")</f>
        <v>Essencial</v>
      </c>
      <c r="I15" s="38" t="str">
        <f t="shared" si="0"/>
        <v>janeiro</v>
      </c>
      <c r="J15" s="39" t="str">
        <f>IF(Tabela1[[#This Row],[Caixa]]="Receita","Recebido",IF(F15="","",IF(G15="","",IF(G15&lt;F15,"Pago atrasado",IF(Tabela1[[#This Row],[Data do Pagamento / Compra]]&gt;Tabela1[[#This Row],[Data de Compra]],"Pago","Pago")))))</f>
        <v>Pago</v>
      </c>
    </row>
    <row r="16" spans="1:16" ht="21" hidden="1" customHeight="1" x14ac:dyDescent="0.2">
      <c r="A16" s="33" t="s">
        <v>52</v>
      </c>
      <c r="B16" s="34" t="s">
        <v>29</v>
      </c>
      <c r="C16" s="34" t="s">
        <v>13</v>
      </c>
      <c r="D16" s="34" t="s">
        <v>15</v>
      </c>
      <c r="E16" s="35">
        <v>13.3</v>
      </c>
      <c r="F16" s="36">
        <v>45296</v>
      </c>
      <c r="G16" s="36">
        <v>45296</v>
      </c>
      <c r="H16" s="37" t="str">
        <f>IFERROR(VLOOKUP(Tabela1[[#This Row],[Tag]],TAGS!$J$1:$K$11,2,0),"")</f>
        <v>Essencial</v>
      </c>
      <c r="I16" s="38" t="str">
        <f t="shared" si="0"/>
        <v>janeiro</v>
      </c>
      <c r="J16" s="39" t="str">
        <f>IF(Tabela1[[#This Row],[Caixa]]="Receita","Recebido",IF(F16="","",IF(G16="","",IF(G16&lt;F16,"Pago atrasado",IF(Tabela1[[#This Row],[Data do Pagamento / Compra]]&gt;Tabela1[[#This Row],[Data de Compra]],"Pago","Pago")))))</f>
        <v>Pago</v>
      </c>
    </row>
    <row r="17" spans="1:10" ht="21" hidden="1" customHeight="1" x14ac:dyDescent="0.2">
      <c r="A17" s="33" t="s">
        <v>52</v>
      </c>
      <c r="B17" s="34" t="s">
        <v>29</v>
      </c>
      <c r="C17" s="34" t="s">
        <v>13</v>
      </c>
      <c r="D17" s="34" t="s">
        <v>15</v>
      </c>
      <c r="E17" s="35">
        <v>6.9</v>
      </c>
      <c r="F17" s="36">
        <v>45296</v>
      </c>
      <c r="G17" s="36">
        <v>45296</v>
      </c>
      <c r="H17" s="37" t="str">
        <f>IFERROR(VLOOKUP(Tabela1[[#This Row],[Tag]],TAGS!$J$1:$K$11,2,0),"")</f>
        <v>Essencial</v>
      </c>
      <c r="I17" s="38" t="str">
        <f t="shared" si="0"/>
        <v>janeiro</v>
      </c>
      <c r="J17" s="39" t="str">
        <f>IF(Tabela1[[#This Row],[Caixa]]="Receita","Recebido",IF(F17="","",IF(G17="","",IF(G17&lt;F17,"Pago atrasado",IF(Tabela1[[#This Row],[Data do Pagamento / Compra]]&gt;Tabela1[[#This Row],[Data de Compra]],"Pago","Pago")))))</f>
        <v>Pago</v>
      </c>
    </row>
    <row r="18" spans="1:10" ht="21" hidden="1" customHeight="1" x14ac:dyDescent="0.2">
      <c r="A18" s="33" t="s">
        <v>52</v>
      </c>
      <c r="B18" s="34" t="s">
        <v>29</v>
      </c>
      <c r="C18" s="34" t="s">
        <v>13</v>
      </c>
      <c r="D18" s="34" t="s">
        <v>15</v>
      </c>
      <c r="E18" s="35">
        <v>7.5</v>
      </c>
      <c r="F18" s="36">
        <v>45296</v>
      </c>
      <c r="G18" s="36">
        <v>45296</v>
      </c>
      <c r="H18" s="37" t="str">
        <f>IFERROR(VLOOKUP(Tabela1[[#This Row],[Tag]],TAGS!$J$1:$K$11,2,0),"")</f>
        <v>Essencial</v>
      </c>
      <c r="I18" s="38" t="str">
        <f t="shared" si="0"/>
        <v>janeiro</v>
      </c>
      <c r="J18" s="39" t="str">
        <f>IF(Tabela1[[#This Row],[Caixa]]="Receita","Recebido",IF(F18="","",IF(G18="","",IF(G18&lt;F18,"Pago atrasado",IF(Tabela1[[#This Row],[Data do Pagamento / Compra]]&gt;Tabela1[[#This Row],[Data de Compra]],"Pago","Pago")))))</f>
        <v>Pago</v>
      </c>
    </row>
    <row r="19" spans="1:10" ht="21" hidden="1" customHeight="1" x14ac:dyDescent="0.2">
      <c r="A19" s="33" t="s">
        <v>48</v>
      </c>
      <c r="B19" s="34" t="s">
        <v>29</v>
      </c>
      <c r="C19" s="34" t="s">
        <v>12</v>
      </c>
      <c r="D19" s="34" t="s">
        <v>15</v>
      </c>
      <c r="E19" s="35">
        <v>149.29</v>
      </c>
      <c r="F19" s="36">
        <v>45296</v>
      </c>
      <c r="G19" s="36">
        <v>45296</v>
      </c>
      <c r="H19" s="37" t="str">
        <f>IFERROR(VLOOKUP(Tabela1[[#This Row],[Tag]],TAGS!$J$1:$K$11,2,0),"")</f>
        <v>Essencial</v>
      </c>
      <c r="I19" s="38" t="str">
        <f t="shared" si="0"/>
        <v>janeiro</v>
      </c>
      <c r="J19" s="39" t="str">
        <f>IF(Tabela1[[#This Row],[Caixa]]="Receita","Recebido",IF(F19="","",IF(G19="","",IF(G19&lt;F19,"Pago atrasado",IF(Tabela1[[#This Row],[Data do Pagamento / Compra]]&gt;Tabela1[[#This Row],[Data de Compra]],"Pago","Pago")))))</f>
        <v>Pago</v>
      </c>
    </row>
    <row r="20" spans="1:10" ht="21" hidden="1" customHeight="1" x14ac:dyDescent="0.2">
      <c r="A20" s="33" t="s">
        <v>54</v>
      </c>
      <c r="B20" s="34" t="s">
        <v>29</v>
      </c>
      <c r="C20" s="34" t="s">
        <v>21</v>
      </c>
      <c r="D20" s="34" t="s">
        <v>15</v>
      </c>
      <c r="E20" s="35">
        <v>200</v>
      </c>
      <c r="F20" s="36">
        <v>45296</v>
      </c>
      <c r="G20" s="36">
        <v>45296</v>
      </c>
      <c r="H20" s="37" t="str">
        <f>IFERROR(VLOOKUP(Tabela1[[#This Row],[Tag]],TAGS!$J$1:$K$11,2,0),"")</f>
        <v>Não essencial</v>
      </c>
      <c r="I20" s="38" t="str">
        <f t="shared" si="0"/>
        <v>janeiro</v>
      </c>
      <c r="J20" s="39" t="str">
        <f>IF(Tabela1[[#This Row],[Caixa]]="Receita","Recebido",IF(F20="","",IF(G20="","",IF(G20&lt;F20,"Pago atrasado",IF(Tabela1[[#This Row],[Data do Pagamento / Compra]]&gt;Tabela1[[#This Row],[Data de Compra]],"Pago","Pago")))))</f>
        <v>Pago</v>
      </c>
    </row>
    <row r="21" spans="1:10" ht="21" hidden="1" customHeight="1" x14ac:dyDescent="0.2">
      <c r="A21" s="33" t="s">
        <v>23</v>
      </c>
      <c r="B21" s="34" t="s">
        <v>29</v>
      </c>
      <c r="C21" s="34" t="s">
        <v>21</v>
      </c>
      <c r="D21" s="34" t="s">
        <v>15</v>
      </c>
      <c r="E21" s="35">
        <v>90</v>
      </c>
      <c r="F21" s="36">
        <v>45296</v>
      </c>
      <c r="G21" s="36">
        <v>45296</v>
      </c>
      <c r="H21" s="37" t="str">
        <f>IFERROR(VLOOKUP(Tabela1[[#This Row],[Tag]],TAGS!$J$1:$K$11,2,0),"")</f>
        <v>Não essencial</v>
      </c>
      <c r="I21" s="38" t="str">
        <f t="shared" si="0"/>
        <v>janeiro</v>
      </c>
      <c r="J21" s="39" t="str">
        <f>IF(Tabela1[[#This Row],[Caixa]]="Receita","Recebido",IF(F21="","",IF(G21="","",IF(G21&lt;F21,"Pago atrasado",IF(Tabela1[[#This Row],[Data do Pagamento / Compra]]&gt;Tabela1[[#This Row],[Data de Compra]],"Pago","Pago")))))</f>
        <v>Pago</v>
      </c>
    </row>
    <row r="22" spans="1:10" ht="21" hidden="1" customHeight="1" x14ac:dyDescent="0.2">
      <c r="A22" s="33" t="s">
        <v>24</v>
      </c>
      <c r="B22" s="34" t="s">
        <v>29</v>
      </c>
      <c r="C22" s="34" t="s">
        <v>11</v>
      </c>
      <c r="D22" s="34" t="s">
        <v>15</v>
      </c>
      <c r="E22" s="35">
        <v>65</v>
      </c>
      <c r="F22" s="36">
        <v>45296</v>
      </c>
      <c r="G22" s="36">
        <v>45296</v>
      </c>
      <c r="H22" s="37" t="str">
        <f>IFERROR(VLOOKUP(Tabela1[[#This Row],[Tag]],TAGS!$J$1:$K$11,2,0),"")</f>
        <v>Essencial</v>
      </c>
      <c r="I22" s="38" t="str">
        <f t="shared" si="0"/>
        <v>janeiro</v>
      </c>
      <c r="J22" s="39" t="str">
        <f>IF(Tabela1[[#This Row],[Caixa]]="Receita","Recebido",IF(F22="","",IF(G22="","",IF(G22&lt;F22,"Pago atrasado",IF(Tabela1[[#This Row],[Data do Pagamento / Compra]]&gt;Tabela1[[#This Row],[Data de Compra]],"Pago","Pago")))))</f>
        <v>Pago</v>
      </c>
    </row>
    <row r="23" spans="1:10" ht="21" hidden="1" customHeight="1" x14ac:dyDescent="0.2">
      <c r="A23" s="33" t="s">
        <v>78</v>
      </c>
      <c r="B23" s="34" t="s">
        <v>28</v>
      </c>
      <c r="C23" s="34" t="s">
        <v>31</v>
      </c>
      <c r="D23" s="34" t="s">
        <v>15</v>
      </c>
      <c r="E23" s="35">
        <v>2787.17</v>
      </c>
      <c r="F23" s="36">
        <v>45296</v>
      </c>
      <c r="G23" s="36">
        <v>45296</v>
      </c>
      <c r="H23" s="37" t="str">
        <f>IFERROR(VLOOKUP(Tabela1[[#This Row],[Tag]],TAGS!$J$1:$K$11,2,0),"")</f>
        <v>Receita</v>
      </c>
      <c r="I23" s="38" t="str">
        <f t="shared" si="0"/>
        <v>janeiro</v>
      </c>
      <c r="J23" s="39" t="str">
        <f>IF(Tabela1[[#This Row],[Caixa]]="Receita","Recebido",IF(F23="","",IF(G23="","",IF(G23&lt;F23,"Pago atrasado",IF(Tabela1[[#This Row],[Data do Pagamento / Compra]]&gt;Tabela1[[#This Row],[Data de Compra]],"Pago","Pago")))))</f>
        <v>Recebido</v>
      </c>
    </row>
    <row r="24" spans="1:10" ht="21" hidden="1" customHeight="1" x14ac:dyDescent="0.2">
      <c r="A24" s="33" t="s">
        <v>52</v>
      </c>
      <c r="B24" s="34" t="s">
        <v>29</v>
      </c>
      <c r="C24" s="34" t="s">
        <v>13</v>
      </c>
      <c r="D24" s="34" t="s">
        <v>15</v>
      </c>
      <c r="E24" s="35">
        <v>6.9</v>
      </c>
      <c r="F24" s="36">
        <v>45299</v>
      </c>
      <c r="G24" s="36">
        <v>45299</v>
      </c>
      <c r="H24" s="37" t="str">
        <f>IFERROR(VLOOKUP(Tabela1[[#This Row],[Tag]],TAGS!$J$1:$K$11,2,0),"")</f>
        <v>Essencial</v>
      </c>
      <c r="I24" s="38" t="str">
        <f t="shared" si="0"/>
        <v>janeiro</v>
      </c>
      <c r="J24" s="39" t="str">
        <f>IF(Tabela1[[#This Row],[Caixa]]="Receita","Recebido",IF(F24="","",IF(G24="","",IF(G24&lt;F24,"Pago atrasado",IF(Tabela1[[#This Row],[Data do Pagamento / Compra]]&gt;Tabela1[[#This Row],[Data de Compra]],"Pago","Pago")))))</f>
        <v>Pago</v>
      </c>
    </row>
    <row r="25" spans="1:10" ht="21" hidden="1" customHeight="1" x14ac:dyDescent="0.2">
      <c r="A25" s="33" t="s">
        <v>55</v>
      </c>
      <c r="B25" s="34" t="s">
        <v>29</v>
      </c>
      <c r="C25" s="34" t="s">
        <v>14</v>
      </c>
      <c r="D25" s="34" t="s">
        <v>15</v>
      </c>
      <c r="E25" s="35">
        <v>18.96</v>
      </c>
      <c r="F25" s="36">
        <v>45299</v>
      </c>
      <c r="G25" s="36">
        <v>45299</v>
      </c>
      <c r="H25" s="37" t="str">
        <f>IFERROR(VLOOKUP(Tabela1[[#This Row],[Tag]],TAGS!$J$1:$K$11,2,0),"")</f>
        <v>Não essencial</v>
      </c>
      <c r="I25" s="38" t="str">
        <f t="shared" si="0"/>
        <v>janeiro</v>
      </c>
      <c r="J25" s="39" t="str">
        <f>IF(Tabela1[[#This Row],[Caixa]]="Receita","Recebido",IF(F25="","",IF(G25="","",IF(G25&lt;F25,"Pago atrasado",IF(Tabela1[[#This Row],[Data do Pagamento / Compra]]&gt;Tabela1[[#This Row],[Data de Compra]],"Pago","Pago")))))</f>
        <v>Pago</v>
      </c>
    </row>
    <row r="26" spans="1:10" ht="21" hidden="1" customHeight="1" x14ac:dyDescent="0.2">
      <c r="A26" s="33" t="s">
        <v>55</v>
      </c>
      <c r="B26" s="34" t="s">
        <v>29</v>
      </c>
      <c r="C26" s="34" t="s">
        <v>14</v>
      </c>
      <c r="D26" s="34" t="s">
        <v>15</v>
      </c>
      <c r="E26" s="35">
        <v>63.92</v>
      </c>
      <c r="F26" s="36">
        <v>45299</v>
      </c>
      <c r="G26" s="36">
        <v>45299</v>
      </c>
      <c r="H26" s="37" t="str">
        <f>IFERROR(VLOOKUP(Tabela1[[#This Row],[Tag]],TAGS!$J$1:$K$11,2,0),"")</f>
        <v>Não essencial</v>
      </c>
      <c r="I26" s="38" t="str">
        <f t="shared" si="0"/>
        <v>janeiro</v>
      </c>
      <c r="J26" s="39" t="str">
        <f>IF(Tabela1[[#This Row],[Caixa]]="Receita","Recebido",IF(F26="","",IF(G26="","",IF(G26&lt;F26,"Pago atrasado",IF(Tabela1[[#This Row],[Data do Pagamento / Compra]]&gt;Tabela1[[#This Row],[Data de Compra]],"Pago","Pago")))))</f>
        <v>Pago</v>
      </c>
    </row>
    <row r="27" spans="1:10" ht="21" hidden="1" customHeight="1" x14ac:dyDescent="0.2">
      <c r="A27" s="33" t="s">
        <v>52</v>
      </c>
      <c r="B27" s="34" t="s">
        <v>29</v>
      </c>
      <c r="C27" s="34" t="s">
        <v>13</v>
      </c>
      <c r="D27" s="34" t="s">
        <v>15</v>
      </c>
      <c r="E27" s="35">
        <v>9.99</v>
      </c>
      <c r="F27" s="36">
        <v>45299</v>
      </c>
      <c r="G27" s="36">
        <v>45299</v>
      </c>
      <c r="H27" s="37" t="str">
        <f>IFERROR(VLOOKUP(Tabela1[[#This Row],[Tag]],TAGS!$J$1:$K$11,2,0),"")</f>
        <v>Essencial</v>
      </c>
      <c r="I27" s="38" t="str">
        <f t="shared" si="0"/>
        <v>janeiro</v>
      </c>
      <c r="J27" s="39" t="str">
        <f>IF(Tabela1[[#This Row],[Caixa]]="Receita","Recebido",IF(F27="","",IF(G27="","",IF(G27&lt;F27,"Pago atrasado",IF(Tabela1[[#This Row],[Data do Pagamento / Compra]]&gt;Tabela1[[#This Row],[Data de Compra]],"Pago","Pago")))))</f>
        <v>Pago</v>
      </c>
    </row>
    <row r="28" spans="1:10" ht="21" hidden="1" customHeight="1" x14ac:dyDescent="0.2">
      <c r="A28" s="33" t="s">
        <v>52</v>
      </c>
      <c r="B28" s="34" t="s">
        <v>29</v>
      </c>
      <c r="C28" s="34" t="s">
        <v>13</v>
      </c>
      <c r="D28" s="34" t="s">
        <v>15</v>
      </c>
      <c r="E28" s="35">
        <v>9.5299999999999994</v>
      </c>
      <c r="F28" s="36">
        <v>45299</v>
      </c>
      <c r="G28" s="36">
        <v>45299</v>
      </c>
      <c r="H28" s="37" t="str">
        <f>IFERROR(VLOOKUP(Tabela1[[#This Row],[Tag]],TAGS!$J$1:$K$11,2,0),"")</f>
        <v>Essencial</v>
      </c>
      <c r="I28" s="38" t="str">
        <f t="shared" si="0"/>
        <v>janeiro</v>
      </c>
      <c r="J28" s="39" t="str">
        <f>IF(Tabela1[[#This Row],[Caixa]]="Receita","Recebido",IF(F28="","",IF(G28="","",IF(G28&lt;F28,"Pago atrasado",IF(Tabela1[[#This Row],[Data do Pagamento / Compra]]&gt;Tabela1[[#This Row],[Data de Compra]],"Pago","Pago")))))</f>
        <v>Pago</v>
      </c>
    </row>
    <row r="29" spans="1:10" ht="21" hidden="1" customHeight="1" x14ac:dyDescent="0.2">
      <c r="A29" s="33" t="s">
        <v>51</v>
      </c>
      <c r="B29" s="34" t="s">
        <v>29</v>
      </c>
      <c r="C29" s="34" t="s">
        <v>14</v>
      </c>
      <c r="D29" s="34" t="s">
        <v>15</v>
      </c>
      <c r="E29" s="35">
        <v>15</v>
      </c>
      <c r="F29" s="36">
        <v>45299</v>
      </c>
      <c r="G29" s="36">
        <v>45299</v>
      </c>
      <c r="H29" s="37" t="str">
        <f>IFERROR(VLOOKUP(Tabela1[[#This Row],[Tag]],TAGS!$J$1:$K$11,2,0),"")</f>
        <v>Não essencial</v>
      </c>
      <c r="I29" s="38" t="str">
        <f t="shared" si="0"/>
        <v>janeiro</v>
      </c>
      <c r="J29" s="39" t="str">
        <f>IF(Tabela1[[#This Row],[Caixa]]="Receita","Recebido",IF(F29="","",IF(G29="","",IF(G29&lt;F29,"Pago atrasado",IF(Tabela1[[#This Row],[Data do Pagamento / Compra]]&gt;Tabela1[[#This Row],[Data de Compra]],"Pago","Pago")))))</f>
        <v>Pago</v>
      </c>
    </row>
    <row r="30" spans="1:10" ht="21" hidden="1" customHeight="1" x14ac:dyDescent="0.2">
      <c r="A30" s="33" t="s">
        <v>56</v>
      </c>
      <c r="B30" s="34" t="s">
        <v>29</v>
      </c>
      <c r="C30" s="34" t="s">
        <v>14</v>
      </c>
      <c r="D30" s="34" t="s">
        <v>15</v>
      </c>
      <c r="E30" s="35">
        <v>11.9</v>
      </c>
      <c r="F30" s="36">
        <v>45299</v>
      </c>
      <c r="G30" s="36">
        <v>45299</v>
      </c>
      <c r="H30" s="37" t="str">
        <f>IFERROR(VLOOKUP(Tabela1[[#This Row],[Tag]],TAGS!$J$1:$K$11,2,0),"")</f>
        <v>Não essencial</v>
      </c>
      <c r="I30" s="38" t="str">
        <f t="shared" si="0"/>
        <v>janeiro</v>
      </c>
      <c r="J30" s="39" t="str">
        <f>IF(Tabela1[[#This Row],[Caixa]]="Receita","Recebido",IF(F30="","",IF(G30="","",IF(G30&lt;F30,"Pago atrasado",IF(Tabela1[[#This Row],[Data do Pagamento / Compra]]&gt;Tabela1[[#This Row],[Data de Compra]],"Pago","Pago")))))</f>
        <v>Pago</v>
      </c>
    </row>
    <row r="31" spans="1:10" ht="21" hidden="1" customHeight="1" x14ac:dyDescent="0.2">
      <c r="A31" s="33" t="s">
        <v>57</v>
      </c>
      <c r="B31" s="34" t="s">
        <v>29</v>
      </c>
      <c r="C31" s="34" t="s">
        <v>14</v>
      </c>
      <c r="D31" s="34" t="s">
        <v>15</v>
      </c>
      <c r="E31" s="35">
        <v>37.479999999999997</v>
      </c>
      <c r="F31" s="36">
        <v>45299</v>
      </c>
      <c r="G31" s="36">
        <v>45299</v>
      </c>
      <c r="H31" s="37" t="str">
        <f>IFERROR(VLOOKUP(Tabela1[[#This Row],[Tag]],TAGS!$J$1:$K$11,2,0),"")</f>
        <v>Não essencial</v>
      </c>
      <c r="I31" s="38" t="str">
        <f t="shared" si="0"/>
        <v>janeiro</v>
      </c>
      <c r="J31" s="39" t="str">
        <f>IF(Tabela1[[#This Row],[Caixa]]="Receita","Recebido",IF(F31="","",IF(G31="","",IF(G31&lt;F31,"Pago atrasado",IF(Tabela1[[#This Row],[Data do Pagamento / Compra]]&gt;Tabela1[[#This Row],[Data de Compra]],"Pago","Pago")))))</f>
        <v>Pago</v>
      </c>
    </row>
    <row r="32" spans="1:10" ht="21" hidden="1" customHeight="1" x14ac:dyDescent="0.2">
      <c r="A32" s="33" t="s">
        <v>25</v>
      </c>
      <c r="B32" s="34" t="s">
        <v>29</v>
      </c>
      <c r="C32" s="34" t="s">
        <v>21</v>
      </c>
      <c r="D32" s="34" t="s">
        <v>15</v>
      </c>
      <c r="E32" s="35">
        <v>3</v>
      </c>
      <c r="F32" s="36">
        <v>45299</v>
      </c>
      <c r="G32" s="36">
        <v>45299</v>
      </c>
      <c r="H32" s="37" t="str">
        <f>IFERROR(VLOOKUP(Tabela1[[#This Row],[Tag]],TAGS!$J$1:$K$11,2,0),"")</f>
        <v>Não essencial</v>
      </c>
      <c r="I32" s="38" t="str">
        <f t="shared" si="0"/>
        <v>janeiro</v>
      </c>
      <c r="J32" s="39" t="str">
        <f>IF(Tabela1[[#This Row],[Caixa]]="Receita","Recebido",IF(F32="","",IF(G32="","",IF(G32&lt;F32,"Pago atrasado",IF(Tabela1[[#This Row],[Data do Pagamento / Compra]]&gt;Tabela1[[#This Row],[Data de Compra]],"Pago","Pago")))))</f>
        <v>Pago</v>
      </c>
    </row>
    <row r="33" spans="1:10" ht="21" hidden="1" customHeight="1" x14ac:dyDescent="0.2">
      <c r="A33" s="33" t="s">
        <v>55</v>
      </c>
      <c r="B33" s="34" t="s">
        <v>29</v>
      </c>
      <c r="C33" s="34" t="s">
        <v>14</v>
      </c>
      <c r="D33" s="34" t="s">
        <v>15</v>
      </c>
      <c r="E33" s="35">
        <v>18.989999999999998</v>
      </c>
      <c r="F33" s="36">
        <v>45300</v>
      </c>
      <c r="G33" s="36">
        <v>45300</v>
      </c>
      <c r="H33" s="37" t="str">
        <f>IFERROR(VLOOKUP(Tabela1[[#This Row],[Tag]],TAGS!$J$1:$K$11,2,0),"")</f>
        <v>Não essencial</v>
      </c>
      <c r="I33" s="38" t="str">
        <f t="shared" si="0"/>
        <v>janeiro</v>
      </c>
      <c r="J33" s="39" t="str">
        <f>IF(Tabela1[[#This Row],[Caixa]]="Receita","Recebido",IF(F33="","",IF(G33="","",IF(G33&lt;F33,"Pago atrasado",IF(Tabela1[[#This Row],[Data do Pagamento / Compra]]&gt;Tabela1[[#This Row],[Data de Compra]],"Pago","Pago")))))</f>
        <v>Pago</v>
      </c>
    </row>
    <row r="34" spans="1:10" ht="21" hidden="1" customHeight="1" x14ac:dyDescent="0.2">
      <c r="A34" s="33" t="s">
        <v>58</v>
      </c>
      <c r="B34" s="34" t="s">
        <v>28</v>
      </c>
      <c r="C34" s="34" t="s">
        <v>31</v>
      </c>
      <c r="D34" s="34" t="s">
        <v>15</v>
      </c>
      <c r="E34" s="35">
        <v>500</v>
      </c>
      <c r="F34" s="36">
        <v>45301</v>
      </c>
      <c r="G34" s="36">
        <v>45301</v>
      </c>
      <c r="H34" s="37" t="str">
        <f>IFERROR(VLOOKUP(Tabela1[[#This Row],[Tag]],TAGS!$J$1:$K$11,2,0),"")</f>
        <v>Receita</v>
      </c>
      <c r="I34" s="38" t="str">
        <f t="shared" si="0"/>
        <v>janeiro</v>
      </c>
      <c r="J34" s="39" t="str">
        <f>IF(Tabela1[[#This Row],[Caixa]]="Receita","Recebido",IF(F34="","",IF(G34="","",IF(G34&lt;F34,"Pago atrasado",IF(Tabela1[[#This Row],[Data do Pagamento / Compra]]&gt;Tabela1[[#This Row],[Data de Compra]],"Pago","Pago")))))</f>
        <v>Recebido</v>
      </c>
    </row>
    <row r="35" spans="1:10" ht="21" hidden="1" customHeight="1" x14ac:dyDescent="0.2">
      <c r="A35" s="33" t="s">
        <v>52</v>
      </c>
      <c r="B35" s="34" t="s">
        <v>29</v>
      </c>
      <c r="C35" s="34" t="s">
        <v>13</v>
      </c>
      <c r="D35" s="34" t="s">
        <v>15</v>
      </c>
      <c r="E35" s="35">
        <v>7.6</v>
      </c>
      <c r="F35" s="36">
        <v>45301</v>
      </c>
      <c r="G35" s="36">
        <v>45301</v>
      </c>
      <c r="H35" s="37" t="str">
        <f>IFERROR(VLOOKUP(Tabela1[[#This Row],[Tag]],TAGS!$J$1:$K$11,2,0),"")</f>
        <v>Essencial</v>
      </c>
      <c r="I35" s="38" t="str">
        <f t="shared" si="0"/>
        <v>janeiro</v>
      </c>
      <c r="J35" s="39" t="str">
        <f>IF(Tabela1[[#This Row],[Caixa]]="Receita","Recebido",IF(F35="","",IF(G35="","",IF(G35&lt;F35,"Pago atrasado",IF(Tabela1[[#This Row],[Data do Pagamento / Compra]]&gt;Tabela1[[#This Row],[Data de Compra]],"Pago","Pago")))))</f>
        <v>Pago</v>
      </c>
    </row>
    <row r="36" spans="1:10" ht="21" hidden="1" customHeight="1" x14ac:dyDescent="0.2">
      <c r="A36" s="33" t="s">
        <v>59</v>
      </c>
      <c r="B36" s="34" t="s">
        <v>29</v>
      </c>
      <c r="C36" s="34" t="s">
        <v>14</v>
      </c>
      <c r="D36" s="34" t="s">
        <v>15</v>
      </c>
      <c r="E36" s="35">
        <v>60</v>
      </c>
      <c r="F36" s="36">
        <v>45301</v>
      </c>
      <c r="G36" s="36">
        <v>45301</v>
      </c>
      <c r="H36" s="37" t="str">
        <f>IFERROR(VLOOKUP(Tabela1[[#This Row],[Tag]],TAGS!$J$1:$K$11,2,0),"")</f>
        <v>Não essencial</v>
      </c>
      <c r="I36" s="38" t="str">
        <f t="shared" si="0"/>
        <v>janeiro</v>
      </c>
      <c r="J36" s="39" t="str">
        <f>IF(Tabela1[[#This Row],[Caixa]]="Receita","Recebido",IF(F36="","",IF(G36="","",IF(G36&lt;F36,"Pago atrasado",IF(Tabela1[[#This Row],[Data do Pagamento / Compra]]&gt;Tabela1[[#This Row],[Data de Compra]],"Pago","Pago")))))</f>
        <v>Pago</v>
      </c>
    </row>
    <row r="37" spans="1:10" ht="21" hidden="1" customHeight="1" x14ac:dyDescent="0.2">
      <c r="A37" s="33" t="s">
        <v>55</v>
      </c>
      <c r="B37" s="34" t="s">
        <v>29</v>
      </c>
      <c r="C37" s="34" t="s">
        <v>14</v>
      </c>
      <c r="D37" s="34" t="s">
        <v>15</v>
      </c>
      <c r="E37" s="35">
        <v>27.85</v>
      </c>
      <c r="F37" s="36">
        <v>45301</v>
      </c>
      <c r="G37" s="36">
        <v>45301</v>
      </c>
      <c r="H37" s="37" t="str">
        <f>IFERROR(VLOOKUP(Tabela1[[#This Row],[Tag]],TAGS!$J$1:$K$11,2,0),"")</f>
        <v>Não essencial</v>
      </c>
      <c r="I37" s="38" t="str">
        <f t="shared" si="0"/>
        <v>janeiro</v>
      </c>
      <c r="J37" s="39" t="str">
        <f>IF(Tabela1[[#This Row],[Caixa]]="Receita","Recebido",IF(F37="","",IF(G37="","",IF(G37&lt;F37,"Pago atrasado",IF(Tabela1[[#This Row],[Data do Pagamento / Compra]]&gt;Tabela1[[#This Row],[Data de Compra]],"Pago","Pago")))))</f>
        <v>Pago</v>
      </c>
    </row>
    <row r="38" spans="1:10" ht="21" hidden="1" customHeight="1" x14ac:dyDescent="0.2">
      <c r="A38" s="33" t="s">
        <v>60</v>
      </c>
      <c r="B38" s="34" t="s">
        <v>29</v>
      </c>
      <c r="C38" s="34" t="s">
        <v>14</v>
      </c>
      <c r="D38" s="34" t="s">
        <v>15</v>
      </c>
      <c r="E38" s="35">
        <v>5</v>
      </c>
      <c r="F38" s="36">
        <v>45301</v>
      </c>
      <c r="G38" s="36">
        <v>45301</v>
      </c>
      <c r="H38" s="37" t="str">
        <f>IFERROR(VLOOKUP(Tabela1[[#This Row],[Tag]],TAGS!$J$1:$K$11,2,0),"")</f>
        <v>Não essencial</v>
      </c>
      <c r="I38" s="38" t="str">
        <f t="shared" si="0"/>
        <v>janeiro</v>
      </c>
      <c r="J38" s="39" t="str">
        <f>IF(Tabela1[[#This Row],[Caixa]]="Receita","Recebido",IF(F38="","",IF(G38="","",IF(G38&lt;F38,"Pago atrasado",IF(Tabela1[[#This Row],[Data do Pagamento / Compra]]&gt;Tabela1[[#This Row],[Data de Compra]],"Pago","Pago")))))</f>
        <v>Pago</v>
      </c>
    </row>
    <row r="39" spans="1:10" ht="21" hidden="1" customHeight="1" x14ac:dyDescent="0.2">
      <c r="A39" s="33" t="s">
        <v>61</v>
      </c>
      <c r="B39" s="34" t="s">
        <v>29</v>
      </c>
      <c r="C39" s="34" t="s">
        <v>14</v>
      </c>
      <c r="D39" s="34" t="s">
        <v>15</v>
      </c>
      <c r="E39" s="35">
        <v>149.30000000000001</v>
      </c>
      <c r="F39" s="36">
        <v>45301</v>
      </c>
      <c r="G39" s="36">
        <v>45301</v>
      </c>
      <c r="H39" s="37" t="str">
        <f>IFERROR(VLOOKUP(Tabela1[[#This Row],[Tag]],TAGS!$J$1:$K$11,2,0),"")</f>
        <v>Não essencial</v>
      </c>
      <c r="I39" s="38" t="str">
        <f t="shared" si="0"/>
        <v>janeiro</v>
      </c>
      <c r="J39" s="39" t="str">
        <f>IF(Tabela1[[#This Row],[Caixa]]="Receita","Recebido",IF(F39="","",IF(G39="","",IF(G39&lt;F39,"Pago atrasado",IF(Tabela1[[#This Row],[Data do Pagamento / Compra]]&gt;Tabela1[[#This Row],[Data de Compra]],"Pago","Pago")))))</f>
        <v>Pago</v>
      </c>
    </row>
    <row r="40" spans="1:10" ht="21" hidden="1" customHeight="1" x14ac:dyDescent="0.2">
      <c r="A40" s="33" t="s">
        <v>59</v>
      </c>
      <c r="B40" s="34" t="s">
        <v>29</v>
      </c>
      <c r="C40" s="34" t="s">
        <v>14</v>
      </c>
      <c r="D40" s="34" t="s">
        <v>15</v>
      </c>
      <c r="E40" s="35">
        <v>5</v>
      </c>
      <c r="F40" s="36">
        <v>45301</v>
      </c>
      <c r="G40" s="36">
        <v>45301</v>
      </c>
      <c r="H40" s="37" t="str">
        <f>IFERROR(VLOOKUP(Tabela1[[#This Row],[Tag]],TAGS!$J$1:$K$11,2,0),"")</f>
        <v>Não essencial</v>
      </c>
      <c r="I40" s="38" t="str">
        <f t="shared" si="0"/>
        <v>janeiro</v>
      </c>
      <c r="J40" s="39" t="str">
        <f>IF(Tabela1[[#This Row],[Caixa]]="Receita","Recebido",IF(F40="","",IF(G40="","",IF(G40&lt;F40,"Pago atrasado",IF(Tabela1[[#This Row],[Data do Pagamento / Compra]]&gt;Tabela1[[#This Row],[Data de Compra]],"Pago","Pago")))))</f>
        <v>Pago</v>
      </c>
    </row>
    <row r="41" spans="1:10" ht="21" hidden="1" customHeight="1" x14ac:dyDescent="0.2">
      <c r="A41" s="33" t="s">
        <v>60</v>
      </c>
      <c r="B41" s="34" t="s">
        <v>29</v>
      </c>
      <c r="C41" s="34" t="s">
        <v>14</v>
      </c>
      <c r="D41" s="34" t="s">
        <v>15</v>
      </c>
      <c r="E41" s="35">
        <v>47</v>
      </c>
      <c r="F41" s="36">
        <v>45301</v>
      </c>
      <c r="G41" s="36">
        <v>45301</v>
      </c>
      <c r="H41" s="37" t="str">
        <f>IFERROR(VLOOKUP(Tabela1[[#This Row],[Tag]],TAGS!$J$1:$K$11,2,0),"")</f>
        <v>Não essencial</v>
      </c>
      <c r="I41" s="38" t="str">
        <f t="shared" si="0"/>
        <v>janeiro</v>
      </c>
      <c r="J41" s="39" t="str">
        <f>IF(Tabela1[[#This Row],[Caixa]]="Receita","Recebido",IF(F41="","",IF(G41="","",IF(G41&lt;F41,"Pago atrasado",IF(Tabela1[[#This Row],[Data do Pagamento / Compra]]&gt;Tabela1[[#This Row],[Data de Compra]],"Pago","Pago")))))</f>
        <v>Pago</v>
      </c>
    </row>
    <row r="42" spans="1:10" ht="21" hidden="1" customHeight="1" x14ac:dyDescent="0.2">
      <c r="A42" s="33" t="s">
        <v>62</v>
      </c>
      <c r="B42" s="34" t="s">
        <v>29</v>
      </c>
      <c r="C42" s="34" t="s">
        <v>14</v>
      </c>
      <c r="D42" s="34" t="s">
        <v>15</v>
      </c>
      <c r="E42" s="35">
        <v>20</v>
      </c>
      <c r="F42" s="36">
        <v>45301</v>
      </c>
      <c r="G42" s="36">
        <v>45301</v>
      </c>
      <c r="H42" s="37" t="str">
        <f>IFERROR(VLOOKUP(Tabela1[[#This Row],[Tag]],TAGS!$J$1:$K$11,2,0),"")</f>
        <v>Não essencial</v>
      </c>
      <c r="I42" s="38" t="str">
        <f t="shared" si="0"/>
        <v>janeiro</v>
      </c>
      <c r="J42" s="39" t="str">
        <f>IF(Tabela1[[#This Row],[Caixa]]="Receita","Recebido",IF(F42="","",IF(G42="","",IF(G42&lt;F42,"Pago atrasado",IF(Tabela1[[#This Row],[Data do Pagamento / Compra]]&gt;Tabela1[[#This Row],[Data de Compra]],"Pago","Pago")))))</f>
        <v>Pago</v>
      </c>
    </row>
    <row r="43" spans="1:10" ht="21" hidden="1" customHeight="1" x14ac:dyDescent="0.2">
      <c r="A43" s="33" t="s">
        <v>63</v>
      </c>
      <c r="B43" s="34" t="s">
        <v>29</v>
      </c>
      <c r="C43" s="34" t="s">
        <v>47</v>
      </c>
      <c r="D43" s="34" t="s">
        <v>15</v>
      </c>
      <c r="E43" s="35">
        <v>5</v>
      </c>
      <c r="F43" s="36">
        <v>45301</v>
      </c>
      <c r="G43" s="36">
        <v>45301</v>
      </c>
      <c r="H43" s="37" t="str">
        <f>IFERROR(VLOOKUP(Tabela1[[#This Row],[Tag]],TAGS!$J$1:$K$11,2,0),"")</f>
        <v>Essencial</v>
      </c>
      <c r="I43" s="38" t="str">
        <f t="shared" si="0"/>
        <v>janeiro</v>
      </c>
      <c r="J43" s="39" t="str">
        <f>IF(Tabela1[[#This Row],[Caixa]]="Receita","Recebido",IF(F43="","",IF(G43="","",IF(G43&lt;F43,"Pago atrasado",IF(Tabela1[[#This Row],[Data do Pagamento / Compra]]&gt;Tabela1[[#This Row],[Data de Compra]],"Pago","Pago")))))</f>
        <v>Pago</v>
      </c>
    </row>
    <row r="44" spans="1:10" ht="21" hidden="1" customHeight="1" x14ac:dyDescent="0.2">
      <c r="A44" s="33" t="s">
        <v>52</v>
      </c>
      <c r="B44" s="34" t="s">
        <v>29</v>
      </c>
      <c r="C44" s="34" t="s">
        <v>13</v>
      </c>
      <c r="D44" s="34" t="s">
        <v>15</v>
      </c>
      <c r="E44" s="35">
        <v>7.6</v>
      </c>
      <c r="F44" s="36">
        <v>45302</v>
      </c>
      <c r="G44" s="36">
        <v>45302</v>
      </c>
      <c r="H44" s="37" t="str">
        <f>IFERROR(VLOOKUP(Tabela1[[#This Row],[Tag]],TAGS!$J$1:$K$11,2,0),"")</f>
        <v>Essencial</v>
      </c>
      <c r="I44" s="38" t="str">
        <f t="shared" si="0"/>
        <v>janeiro</v>
      </c>
      <c r="J44" s="39" t="str">
        <f>IF(Tabela1[[#This Row],[Caixa]]="Receita","Recebido",IF(F44="","",IF(G44="","",IF(G44&lt;F44,"Pago atrasado",IF(Tabela1[[#This Row],[Data do Pagamento / Compra]]&gt;Tabela1[[#This Row],[Data de Compra]],"Pago","Pago")))))</f>
        <v>Pago</v>
      </c>
    </row>
    <row r="45" spans="1:10" ht="21" hidden="1" customHeight="1" x14ac:dyDescent="0.2">
      <c r="A45" s="33" t="s">
        <v>64</v>
      </c>
      <c r="B45" s="34" t="s">
        <v>29</v>
      </c>
      <c r="C45" s="34" t="s">
        <v>13</v>
      </c>
      <c r="D45" s="34" t="s">
        <v>15</v>
      </c>
      <c r="E45" s="35">
        <v>190.4</v>
      </c>
      <c r="F45" s="36">
        <v>45302</v>
      </c>
      <c r="G45" s="36">
        <v>45302</v>
      </c>
      <c r="H45" s="37" t="str">
        <f>IFERROR(VLOOKUP(Tabela1[[#This Row],[Tag]],TAGS!$J$1:$K$11,2,0),"")</f>
        <v>Essencial</v>
      </c>
      <c r="I45" s="38" t="str">
        <f t="shared" si="0"/>
        <v>janeiro</v>
      </c>
      <c r="J45" s="39" t="str">
        <f>IF(Tabela1[[#This Row],[Caixa]]="Receita","Recebido",IF(F45="","",IF(G45="","",IF(G45&lt;F45,"Pago atrasado",IF(Tabela1[[#This Row],[Data do Pagamento / Compra]]&gt;Tabela1[[#This Row],[Data de Compra]],"Pago","Pago")))))</f>
        <v>Pago</v>
      </c>
    </row>
    <row r="46" spans="1:10" ht="21" hidden="1" customHeight="1" x14ac:dyDescent="0.2">
      <c r="A46" s="33" t="s">
        <v>48</v>
      </c>
      <c r="B46" s="34" t="s">
        <v>29</v>
      </c>
      <c r="C46" s="34" t="s">
        <v>12</v>
      </c>
      <c r="D46" s="34" t="s">
        <v>15</v>
      </c>
      <c r="E46" s="35">
        <v>93.74</v>
      </c>
      <c r="F46" s="36">
        <v>45302</v>
      </c>
      <c r="G46" s="36">
        <v>45302</v>
      </c>
      <c r="H46" s="37" t="str">
        <f>IFERROR(VLOOKUP(Tabela1[[#This Row],[Tag]],TAGS!$J$1:$K$11,2,0),"")</f>
        <v>Essencial</v>
      </c>
      <c r="I46" s="38" t="str">
        <f t="shared" si="0"/>
        <v>janeiro</v>
      </c>
      <c r="J46" s="39" t="str">
        <f>IF(Tabela1[[#This Row],[Caixa]]="Receita","Recebido",IF(F46="","",IF(G46="","",IF(G46&lt;F46,"Pago atrasado",IF(Tabela1[[#This Row],[Data do Pagamento / Compra]]&gt;Tabela1[[#This Row],[Data de Compra]],"Pago","Pago")))))</f>
        <v>Pago</v>
      </c>
    </row>
    <row r="47" spans="1:10" ht="21" hidden="1" customHeight="1" x14ac:dyDescent="0.2">
      <c r="A47" s="33" t="s">
        <v>65</v>
      </c>
      <c r="B47" s="34" t="s">
        <v>29</v>
      </c>
      <c r="C47" s="34" t="s">
        <v>14</v>
      </c>
      <c r="D47" s="34" t="s">
        <v>15</v>
      </c>
      <c r="E47" s="35">
        <v>85</v>
      </c>
      <c r="F47" s="36">
        <v>45302</v>
      </c>
      <c r="G47" s="36">
        <v>45302</v>
      </c>
      <c r="H47" s="37" t="str">
        <f>IFERROR(VLOOKUP(Tabela1[[#This Row],[Tag]],TAGS!$J$1:$K$11,2,0),"")</f>
        <v>Não essencial</v>
      </c>
      <c r="I47" s="38" t="str">
        <f t="shared" si="0"/>
        <v>janeiro</v>
      </c>
      <c r="J47" s="39" t="str">
        <f>IF(Tabela1[[#This Row],[Caixa]]="Receita","Recebido",IF(F47="","",IF(G47="","",IF(G47&lt;F47,"Pago atrasado",IF(Tabela1[[#This Row],[Data do Pagamento / Compra]]&gt;Tabela1[[#This Row],[Data de Compra]],"Pago","Pago")))))</f>
        <v>Pago</v>
      </c>
    </row>
    <row r="48" spans="1:10" ht="21" hidden="1" customHeight="1" x14ac:dyDescent="0.2">
      <c r="A48" s="33" t="s">
        <v>55</v>
      </c>
      <c r="B48" s="34" t="s">
        <v>29</v>
      </c>
      <c r="C48" s="34" t="s">
        <v>14</v>
      </c>
      <c r="D48" s="34" t="s">
        <v>15</v>
      </c>
      <c r="E48" s="35">
        <v>9.98</v>
      </c>
      <c r="F48" s="36">
        <v>45303</v>
      </c>
      <c r="G48" s="36">
        <v>45303</v>
      </c>
      <c r="H48" s="37" t="str">
        <f>IFERROR(VLOOKUP(Tabela1[[#This Row],[Tag]],TAGS!$J$1:$K$11,2,0),"")</f>
        <v>Não essencial</v>
      </c>
      <c r="I48" s="38" t="str">
        <f t="shared" si="0"/>
        <v>janeiro</v>
      </c>
      <c r="J48" s="39" t="str">
        <f>IF(Tabela1[[#This Row],[Caixa]]="Receita","Recebido",IF(F48="","",IF(G48="","",IF(G48&lt;F48,"Pago atrasado",IF(Tabela1[[#This Row],[Data do Pagamento / Compra]]&gt;Tabela1[[#This Row],[Data de Compra]],"Pago","Pago")))))</f>
        <v>Pago</v>
      </c>
    </row>
    <row r="49" spans="1:10" ht="21" hidden="1" customHeight="1" x14ac:dyDescent="0.2">
      <c r="A49" s="33" t="s">
        <v>52</v>
      </c>
      <c r="B49" s="34" t="s">
        <v>29</v>
      </c>
      <c r="C49" s="34" t="s">
        <v>13</v>
      </c>
      <c r="D49" s="34" t="s">
        <v>15</v>
      </c>
      <c r="E49" s="35">
        <v>15.1</v>
      </c>
      <c r="F49" s="36">
        <v>45303</v>
      </c>
      <c r="G49" s="36">
        <v>45303</v>
      </c>
      <c r="H49" s="37" t="str">
        <f>IFERROR(VLOOKUP(Tabela1[[#This Row],[Tag]],TAGS!$J$1:$K$11,2,0),"")</f>
        <v>Essencial</v>
      </c>
      <c r="I49" s="38" t="str">
        <f t="shared" si="0"/>
        <v>janeiro</v>
      </c>
      <c r="J49" s="39" t="str">
        <f>IF(Tabela1[[#This Row],[Caixa]]="Receita","Recebido",IF(F49="","",IF(G49="","",IF(G49&lt;F49,"Pago atrasado",IF(Tabela1[[#This Row],[Data do Pagamento / Compra]]&gt;Tabela1[[#This Row],[Data de Compra]],"Pago","Pago")))))</f>
        <v>Pago</v>
      </c>
    </row>
    <row r="50" spans="1:10" ht="21" hidden="1" customHeight="1" x14ac:dyDescent="0.2">
      <c r="A50" s="33" t="s">
        <v>52</v>
      </c>
      <c r="B50" s="34" t="s">
        <v>29</v>
      </c>
      <c r="C50" s="34" t="s">
        <v>13</v>
      </c>
      <c r="D50" s="34" t="s">
        <v>15</v>
      </c>
      <c r="E50" s="35">
        <v>13.8</v>
      </c>
      <c r="F50" s="36">
        <v>45303</v>
      </c>
      <c r="G50" s="36">
        <v>45303</v>
      </c>
      <c r="H50" s="37" t="str">
        <f>IFERROR(VLOOKUP(Tabela1[[#This Row],[Tag]],TAGS!$J$1:$K$11,2,0),"")</f>
        <v>Essencial</v>
      </c>
      <c r="I50" s="38" t="str">
        <f t="shared" si="0"/>
        <v>janeiro</v>
      </c>
      <c r="J50" s="39" t="str">
        <f>IF(Tabela1[[#This Row],[Caixa]]="Receita","Recebido",IF(F50="","",IF(G50="","",IF(G50&lt;F50,"Pago atrasado",IF(Tabela1[[#This Row],[Data do Pagamento / Compra]]&gt;Tabela1[[#This Row],[Data de Compra]],"Pago","Pago")))))</f>
        <v>Pago</v>
      </c>
    </row>
    <row r="51" spans="1:10" ht="21" hidden="1" customHeight="1" x14ac:dyDescent="0.2">
      <c r="A51" s="33" t="s">
        <v>8</v>
      </c>
      <c r="B51" s="34" t="s">
        <v>29</v>
      </c>
      <c r="C51" s="34" t="s">
        <v>11</v>
      </c>
      <c r="D51" s="34" t="s">
        <v>3</v>
      </c>
      <c r="E51" s="35">
        <v>60</v>
      </c>
      <c r="F51" s="36">
        <v>45306</v>
      </c>
      <c r="G51" s="36">
        <v>45308</v>
      </c>
      <c r="H51" s="37" t="str">
        <f>IFERROR(VLOOKUP(Tabela1[[#This Row],[Tag]],TAGS!$J$1:$K$11,2,0),"")</f>
        <v>Essencial</v>
      </c>
      <c r="I51" s="38" t="str">
        <f t="shared" si="0"/>
        <v>janeiro</v>
      </c>
      <c r="J51" s="39" t="str">
        <f>IF(Tabela1[[#This Row],[Caixa]]="Receita","Recebido",IF(F51="","",IF(G51="","",IF(G51&lt;F51,"Pago atrasado",IF(Tabela1[[#This Row],[Data do Pagamento / Compra]]&gt;Tabela1[[#This Row],[Data de Compra]],"Pago","Pago")))))</f>
        <v>Pago</v>
      </c>
    </row>
    <row r="52" spans="1:10" ht="21" hidden="1" customHeight="1" x14ac:dyDescent="0.2">
      <c r="A52" s="33" t="s">
        <v>66</v>
      </c>
      <c r="B52" s="34" t="s">
        <v>29</v>
      </c>
      <c r="C52" s="34" t="s">
        <v>14</v>
      </c>
      <c r="D52" s="34" t="s">
        <v>15</v>
      </c>
      <c r="E52" s="35">
        <v>15</v>
      </c>
      <c r="F52" s="36">
        <v>45306</v>
      </c>
      <c r="G52" s="36">
        <v>45306</v>
      </c>
      <c r="H52" s="37" t="str">
        <f>IFERROR(VLOOKUP(Tabela1[[#This Row],[Tag]],TAGS!$J$1:$K$11,2,0),"")</f>
        <v>Não essencial</v>
      </c>
      <c r="I52" s="38" t="str">
        <f t="shared" si="0"/>
        <v>janeiro</v>
      </c>
      <c r="J52" s="39" t="str">
        <f>IF(Tabela1[[#This Row],[Caixa]]="Receita","Recebido",IF(F52="","",IF(G52="","",IF(G52&lt;F52,"Pago atrasado",IF(Tabela1[[#This Row],[Data do Pagamento / Compra]]&gt;Tabela1[[#This Row],[Data de Compra]],"Pago","Pago")))))</f>
        <v>Pago</v>
      </c>
    </row>
    <row r="53" spans="1:10" ht="21" hidden="1" customHeight="1" x14ac:dyDescent="0.2">
      <c r="A53" s="33" t="s">
        <v>67</v>
      </c>
      <c r="B53" s="34" t="s">
        <v>29</v>
      </c>
      <c r="C53" s="34" t="s">
        <v>14</v>
      </c>
      <c r="D53" s="34" t="s">
        <v>15</v>
      </c>
      <c r="E53" s="35">
        <v>30</v>
      </c>
      <c r="F53" s="36">
        <v>45306</v>
      </c>
      <c r="G53" s="36">
        <v>45306</v>
      </c>
      <c r="H53" s="37" t="str">
        <f>IFERROR(VLOOKUP(Tabela1[[#This Row],[Tag]],TAGS!$J$1:$K$11,2,0),"")</f>
        <v>Não essencial</v>
      </c>
      <c r="I53" s="38" t="str">
        <f t="shared" si="0"/>
        <v>janeiro</v>
      </c>
      <c r="J53" s="39" t="str">
        <f>IF(Tabela1[[#This Row],[Caixa]]="Receita","Recebido",IF(F53="","",IF(G53="","",IF(G53&lt;F53,"Pago atrasado",IF(Tabela1[[#This Row],[Data do Pagamento / Compra]]&gt;Tabela1[[#This Row],[Data de Compra]],"Pago","Pago")))))</f>
        <v>Pago</v>
      </c>
    </row>
    <row r="54" spans="1:10" ht="21" hidden="1" customHeight="1" x14ac:dyDescent="0.2">
      <c r="A54" s="33" t="s">
        <v>55</v>
      </c>
      <c r="B54" s="34" t="s">
        <v>29</v>
      </c>
      <c r="C54" s="34" t="s">
        <v>14</v>
      </c>
      <c r="D54" s="34" t="s">
        <v>15</v>
      </c>
      <c r="E54" s="35">
        <v>5.53</v>
      </c>
      <c r="F54" s="36">
        <v>45306</v>
      </c>
      <c r="G54" s="36">
        <v>45306</v>
      </c>
      <c r="H54" s="37" t="str">
        <f>IFERROR(VLOOKUP(Tabela1[[#This Row],[Tag]],TAGS!$J$1:$K$11,2,0),"")</f>
        <v>Não essencial</v>
      </c>
      <c r="I54" s="38" t="str">
        <f t="shared" si="0"/>
        <v>janeiro</v>
      </c>
      <c r="J54" s="39" t="str">
        <f>IF(Tabela1[[#This Row],[Caixa]]="Receita","Recebido",IF(F54="","",IF(G54="","",IF(G54&lt;F54,"Pago atrasado",IF(Tabela1[[#This Row],[Data do Pagamento / Compra]]&gt;Tabela1[[#This Row],[Data de Compra]],"Pago","Pago")))))</f>
        <v>Pago</v>
      </c>
    </row>
    <row r="55" spans="1:10" ht="21" hidden="1" customHeight="1" x14ac:dyDescent="0.2">
      <c r="A55" s="33" t="s">
        <v>68</v>
      </c>
      <c r="B55" s="34" t="s">
        <v>29</v>
      </c>
      <c r="C55" s="34" t="s">
        <v>14</v>
      </c>
      <c r="D55" s="34" t="s">
        <v>15</v>
      </c>
      <c r="E55" s="35">
        <v>195</v>
      </c>
      <c r="F55" s="36">
        <v>45306</v>
      </c>
      <c r="G55" s="36">
        <v>45306</v>
      </c>
      <c r="H55" s="37" t="str">
        <f>IFERROR(VLOOKUP(Tabela1[[#This Row],[Tag]],TAGS!$J$1:$K$11,2,0),"")</f>
        <v>Não essencial</v>
      </c>
      <c r="I55" s="38" t="str">
        <f t="shared" si="0"/>
        <v>janeiro</v>
      </c>
      <c r="J55" s="39" t="str">
        <f>IF(Tabela1[[#This Row],[Caixa]]="Receita","Recebido",IF(F55="","",IF(G55="","",IF(G55&lt;F55,"Pago atrasado",IF(Tabela1[[#This Row],[Data do Pagamento / Compra]]&gt;Tabela1[[#This Row],[Data de Compra]],"Pago","Pago")))))</f>
        <v>Pago</v>
      </c>
    </row>
    <row r="56" spans="1:10" ht="21" hidden="1" customHeight="1" x14ac:dyDescent="0.2">
      <c r="A56" s="33" t="s">
        <v>69</v>
      </c>
      <c r="B56" s="34" t="s">
        <v>29</v>
      </c>
      <c r="C56" s="34" t="s">
        <v>14</v>
      </c>
      <c r="D56" s="34" t="s">
        <v>15</v>
      </c>
      <c r="E56" s="35">
        <v>28</v>
      </c>
      <c r="F56" s="36">
        <v>45306</v>
      </c>
      <c r="G56" s="36">
        <v>45306</v>
      </c>
      <c r="H56" s="37" t="str">
        <f>IFERROR(VLOOKUP(Tabela1[[#This Row],[Tag]],TAGS!$J$1:$K$11,2,0),"")</f>
        <v>Não essencial</v>
      </c>
      <c r="I56" s="38" t="str">
        <f t="shared" si="0"/>
        <v>janeiro</v>
      </c>
      <c r="J56" s="39" t="str">
        <f>IF(Tabela1[[#This Row],[Caixa]]="Receita","Recebido",IF(F56="","",IF(G56="","",IF(G56&lt;F56,"Pago atrasado",IF(Tabela1[[#This Row],[Data do Pagamento / Compra]]&gt;Tabela1[[#This Row],[Data de Compra]],"Pago","Pago")))))</f>
        <v>Pago</v>
      </c>
    </row>
    <row r="57" spans="1:10" ht="21" hidden="1" customHeight="1" x14ac:dyDescent="0.2">
      <c r="A57" s="33" t="s">
        <v>52</v>
      </c>
      <c r="B57" s="34" t="s">
        <v>29</v>
      </c>
      <c r="C57" s="34" t="s">
        <v>13</v>
      </c>
      <c r="D57" s="34" t="s">
        <v>15</v>
      </c>
      <c r="E57" s="35">
        <v>12.9</v>
      </c>
      <c r="F57" s="36">
        <v>45306</v>
      </c>
      <c r="G57" s="36">
        <v>45306</v>
      </c>
      <c r="H57" s="37" t="str">
        <f>IFERROR(VLOOKUP(Tabela1[[#This Row],[Tag]],TAGS!$J$1:$K$11,2,0),"")</f>
        <v>Essencial</v>
      </c>
      <c r="I57" s="38" t="str">
        <f t="shared" si="0"/>
        <v>janeiro</v>
      </c>
      <c r="J57" s="39" t="str">
        <f>IF(Tabela1[[#This Row],[Caixa]]="Receita","Recebido",IF(F57="","",IF(G57="","",IF(G57&lt;F57,"Pago atrasado",IF(Tabela1[[#This Row],[Data do Pagamento / Compra]]&gt;Tabela1[[#This Row],[Data de Compra]],"Pago","Pago")))))</f>
        <v>Pago</v>
      </c>
    </row>
    <row r="58" spans="1:10" ht="21" hidden="1" customHeight="1" x14ac:dyDescent="0.2">
      <c r="A58" s="33" t="s">
        <v>52</v>
      </c>
      <c r="B58" s="34" t="s">
        <v>29</v>
      </c>
      <c r="C58" s="34" t="s">
        <v>13</v>
      </c>
      <c r="D58" s="34" t="s">
        <v>15</v>
      </c>
      <c r="E58" s="35">
        <v>15.2</v>
      </c>
      <c r="F58" s="36">
        <v>45306</v>
      </c>
      <c r="G58" s="36">
        <v>45306</v>
      </c>
      <c r="H58" s="37" t="str">
        <f>IFERROR(VLOOKUP(Tabela1[[#This Row],[Tag]],TAGS!$J$1:$K$11,2,0),"")</f>
        <v>Essencial</v>
      </c>
      <c r="I58" s="38" t="str">
        <f t="shared" si="0"/>
        <v>janeiro</v>
      </c>
      <c r="J58" s="39" t="str">
        <f>IF(Tabela1[[#This Row],[Caixa]]="Receita","Recebido",IF(F58="","",IF(G58="","",IF(G58&lt;F58,"Pago atrasado",IF(Tabela1[[#This Row],[Data do Pagamento / Compra]]&gt;Tabela1[[#This Row],[Data de Compra]],"Pago","Pago")))))</f>
        <v>Pago</v>
      </c>
    </row>
    <row r="59" spans="1:10" ht="21" hidden="1" customHeight="1" x14ac:dyDescent="0.2">
      <c r="A59" s="33" t="s">
        <v>52</v>
      </c>
      <c r="B59" s="34" t="s">
        <v>29</v>
      </c>
      <c r="C59" s="34" t="s">
        <v>13</v>
      </c>
      <c r="D59" s="34" t="s">
        <v>15</v>
      </c>
      <c r="E59" s="35">
        <v>14.1</v>
      </c>
      <c r="F59" s="36">
        <v>45306</v>
      </c>
      <c r="G59" s="36">
        <v>45306</v>
      </c>
      <c r="H59" s="37" t="str">
        <f>IFERROR(VLOOKUP(Tabela1[[#This Row],[Tag]],TAGS!$J$1:$K$11,2,0),"")</f>
        <v>Essencial</v>
      </c>
      <c r="I59" s="38" t="str">
        <f t="shared" si="0"/>
        <v>janeiro</v>
      </c>
      <c r="J59" s="39" t="str">
        <f>IF(Tabela1[[#This Row],[Caixa]]="Receita","Recebido",IF(F59="","",IF(G59="","",IF(G59&lt;F59,"Pago atrasado",IF(Tabela1[[#This Row],[Data do Pagamento / Compra]]&gt;Tabela1[[#This Row],[Data de Compra]],"Pago","Pago")))))</f>
        <v>Pago</v>
      </c>
    </row>
    <row r="60" spans="1:10" ht="21" hidden="1" customHeight="1" x14ac:dyDescent="0.2">
      <c r="A60" s="33" t="s">
        <v>17</v>
      </c>
      <c r="B60" s="34" t="s">
        <v>29</v>
      </c>
      <c r="C60" s="34" t="s">
        <v>18</v>
      </c>
      <c r="D60" s="34" t="s">
        <v>15</v>
      </c>
      <c r="E60" s="35">
        <v>50</v>
      </c>
      <c r="F60" s="36">
        <v>45306</v>
      </c>
      <c r="G60" s="36">
        <v>45306</v>
      </c>
      <c r="H60" s="37" t="str">
        <f>IFERROR(VLOOKUP(Tabela1[[#This Row],[Tag]],TAGS!$J$1:$K$11,2,0),"")</f>
        <v>Não essencial</v>
      </c>
      <c r="I60" s="38" t="str">
        <f t="shared" si="0"/>
        <v>janeiro</v>
      </c>
      <c r="J60" s="39" t="str">
        <f>IF(Tabela1[[#This Row],[Caixa]]="Receita","Recebido",IF(F60="","",IF(G60="","",IF(G60&lt;F60,"Pago atrasado",IF(Tabela1[[#This Row],[Data do Pagamento / Compra]]&gt;Tabela1[[#This Row],[Data de Compra]],"Pago","Pago")))))</f>
        <v>Pago</v>
      </c>
    </row>
    <row r="61" spans="1:10" ht="21" hidden="1" customHeight="1" x14ac:dyDescent="0.2">
      <c r="A61" s="33" t="s">
        <v>78</v>
      </c>
      <c r="B61" s="34" t="s">
        <v>28</v>
      </c>
      <c r="C61" s="34" t="s">
        <v>31</v>
      </c>
      <c r="D61" s="34" t="s">
        <v>15</v>
      </c>
      <c r="E61" s="35">
        <v>812.46</v>
      </c>
      <c r="F61" s="36">
        <v>45306</v>
      </c>
      <c r="G61" s="36">
        <v>45306</v>
      </c>
      <c r="H61" s="37" t="str">
        <f>IFERROR(VLOOKUP(Tabela1[[#This Row],[Tag]],TAGS!$J$1:$K$11,2,0),"")</f>
        <v>Receita</v>
      </c>
      <c r="I61" s="38" t="str">
        <f t="shared" si="0"/>
        <v>janeiro</v>
      </c>
      <c r="J61" s="39" t="str">
        <f>IF(Tabela1[[#This Row],[Caixa]]="Receita","Recebido",IF(F61="","",IF(G61="","",IF(G61&lt;F61,"Pago atrasado",IF(Tabela1[[#This Row],[Data do Pagamento / Compra]]&gt;Tabela1[[#This Row],[Data de Compra]],"Pago","Pago")))))</f>
        <v>Recebido</v>
      </c>
    </row>
    <row r="62" spans="1:10" ht="21" hidden="1" customHeight="1" x14ac:dyDescent="0.2">
      <c r="A62" s="33" t="s">
        <v>70</v>
      </c>
      <c r="B62" s="34" t="s">
        <v>29</v>
      </c>
      <c r="C62" s="34" t="s">
        <v>18</v>
      </c>
      <c r="D62" s="34" t="s">
        <v>15</v>
      </c>
      <c r="E62" s="35">
        <v>39.99</v>
      </c>
      <c r="F62" s="36">
        <v>45307</v>
      </c>
      <c r="G62" s="36">
        <v>45307</v>
      </c>
      <c r="H62" s="37" t="str">
        <f>IFERROR(VLOOKUP(Tabela1[[#This Row],[Tag]],TAGS!$J$1:$K$11,2,0),"")</f>
        <v>Não essencial</v>
      </c>
      <c r="I62" s="38" t="str">
        <f t="shared" si="0"/>
        <v>janeiro</v>
      </c>
      <c r="J62" s="39" t="str">
        <f>IF(Tabela1[[#This Row],[Caixa]]="Receita","Recebido",IF(F62="","",IF(G62="","",IF(G62&lt;F62,"Pago atrasado",IF(Tabela1[[#This Row],[Data do Pagamento / Compra]]&gt;Tabela1[[#This Row],[Data de Compra]],"Pago","Pago")))))</f>
        <v>Pago</v>
      </c>
    </row>
    <row r="63" spans="1:10" ht="21" hidden="1" customHeight="1" x14ac:dyDescent="0.2">
      <c r="A63" s="33" t="s">
        <v>71</v>
      </c>
      <c r="B63" s="34" t="s">
        <v>29</v>
      </c>
      <c r="C63" s="34" t="s">
        <v>14</v>
      </c>
      <c r="D63" s="34" t="s">
        <v>15</v>
      </c>
      <c r="E63" s="35">
        <v>13.5</v>
      </c>
      <c r="F63" s="36">
        <v>45307</v>
      </c>
      <c r="G63" s="36">
        <v>45307</v>
      </c>
      <c r="H63" s="37" t="str">
        <f>IFERROR(VLOOKUP(Tabela1[[#This Row],[Tag]],TAGS!$J$1:$K$11,2,0),"")</f>
        <v>Não essencial</v>
      </c>
      <c r="I63" s="38" t="str">
        <f t="shared" si="0"/>
        <v>janeiro</v>
      </c>
      <c r="J63" s="39" t="str">
        <f>IF(Tabela1[[#This Row],[Caixa]]="Receita","Recebido",IF(F63="","",IF(G63="","",IF(G63&lt;F63,"Pago atrasado",IF(Tabela1[[#This Row],[Data do Pagamento / Compra]]&gt;Tabela1[[#This Row],[Data de Compra]],"Pago","Pago")))))</f>
        <v>Pago</v>
      </c>
    </row>
    <row r="64" spans="1:10" ht="21" hidden="1" customHeight="1" x14ac:dyDescent="0.2">
      <c r="A64" s="33" t="s">
        <v>72</v>
      </c>
      <c r="B64" s="34" t="s">
        <v>29</v>
      </c>
      <c r="C64" s="34" t="s">
        <v>14</v>
      </c>
      <c r="D64" s="34" t="s">
        <v>15</v>
      </c>
      <c r="E64" s="35">
        <v>8</v>
      </c>
      <c r="F64" s="36">
        <v>45307</v>
      </c>
      <c r="G64" s="36">
        <v>45307</v>
      </c>
      <c r="H64" s="37" t="str">
        <f>IFERROR(VLOOKUP(Tabela1[[#This Row],[Tag]],TAGS!$J$1:$K$11,2,0),"")</f>
        <v>Não essencial</v>
      </c>
      <c r="I64" s="38" t="str">
        <f t="shared" si="0"/>
        <v>janeiro</v>
      </c>
      <c r="J64" s="39" t="str">
        <f>IF(Tabela1[[#This Row],[Caixa]]="Receita","Recebido",IF(F64="","",IF(G64="","",IF(G64&lt;F64,"Pago atrasado",IF(Tabela1[[#This Row],[Data do Pagamento / Compra]]&gt;Tabela1[[#This Row],[Data de Compra]],"Pago","Pago")))))</f>
        <v>Pago</v>
      </c>
    </row>
    <row r="65" spans="1:10" ht="21" hidden="1" customHeight="1" x14ac:dyDescent="0.2">
      <c r="A65" s="33" t="s">
        <v>52</v>
      </c>
      <c r="B65" s="34" t="s">
        <v>29</v>
      </c>
      <c r="C65" s="34" t="s">
        <v>13</v>
      </c>
      <c r="D65" s="34" t="s">
        <v>15</v>
      </c>
      <c r="E65" s="35">
        <v>7.7</v>
      </c>
      <c r="F65" s="36">
        <v>45307</v>
      </c>
      <c r="G65" s="36">
        <v>45307</v>
      </c>
      <c r="H65" s="37" t="str">
        <f>IFERROR(VLOOKUP(Tabela1[[#This Row],[Tag]],TAGS!$J$1:$K$11,2,0),"")</f>
        <v>Essencial</v>
      </c>
      <c r="I65" s="38" t="str">
        <f t="shared" si="0"/>
        <v>janeiro</v>
      </c>
      <c r="J65" s="39" t="str">
        <f>IF(Tabela1[[#This Row],[Caixa]]="Receita","Recebido",IF(F65="","",IF(G65="","",IF(G65&lt;F65,"Pago atrasado",IF(Tabela1[[#This Row],[Data do Pagamento / Compra]]&gt;Tabela1[[#This Row],[Data de Compra]],"Pago","Pago")))))</f>
        <v>Pago</v>
      </c>
    </row>
    <row r="66" spans="1:10" ht="21" hidden="1" customHeight="1" x14ac:dyDescent="0.2">
      <c r="A66" s="33" t="s">
        <v>52</v>
      </c>
      <c r="B66" s="34" t="s">
        <v>29</v>
      </c>
      <c r="C66" s="34" t="s">
        <v>13</v>
      </c>
      <c r="D66" s="34" t="s">
        <v>15</v>
      </c>
      <c r="E66" s="35">
        <v>8.1</v>
      </c>
      <c r="F66" s="36">
        <v>45307</v>
      </c>
      <c r="G66" s="36">
        <v>45307</v>
      </c>
      <c r="H66" s="37" t="str">
        <f>IFERROR(VLOOKUP(Tabela1[[#This Row],[Tag]],TAGS!$J$1:$K$11,2,0),"")</f>
        <v>Essencial</v>
      </c>
      <c r="I66" s="38" t="str">
        <f t="shared" si="0"/>
        <v>janeiro</v>
      </c>
      <c r="J66" s="39" t="str">
        <f>IF(Tabela1[[#This Row],[Caixa]]="Receita","Recebido",IF(F66="","",IF(G66="","",IF(G66&lt;F66,"Pago atrasado",IF(Tabela1[[#This Row],[Data do Pagamento / Compra]]&gt;Tabela1[[#This Row],[Data de Compra]],"Pago","Pago")))))</f>
        <v>Pago</v>
      </c>
    </row>
    <row r="67" spans="1:10" ht="21" hidden="1" customHeight="1" x14ac:dyDescent="0.2">
      <c r="A67" s="33" t="s">
        <v>73</v>
      </c>
      <c r="B67" s="34" t="s">
        <v>29</v>
      </c>
      <c r="C67" s="34" t="s">
        <v>14</v>
      </c>
      <c r="D67" s="34" t="s">
        <v>15</v>
      </c>
      <c r="E67" s="35">
        <v>58.8</v>
      </c>
      <c r="F67" s="36">
        <v>45307</v>
      </c>
      <c r="G67" s="36">
        <v>45307</v>
      </c>
      <c r="H67" s="37" t="str">
        <f>IFERROR(VLOOKUP(Tabela1[[#This Row],[Tag]],TAGS!$J$1:$K$11,2,0),"")</f>
        <v>Não essencial</v>
      </c>
      <c r="I67" s="38" t="str">
        <f t="shared" si="0"/>
        <v>janeiro</v>
      </c>
      <c r="J67" s="39" t="str">
        <f>IF(Tabela1[[#This Row],[Caixa]]="Receita","Recebido",IF(F67="","",IF(G67="","",IF(G67&lt;F67,"Pago atrasado",IF(Tabela1[[#This Row],[Data do Pagamento / Compra]]&gt;Tabela1[[#This Row],[Data de Compra]],"Pago","Pago")))))</f>
        <v>Pago</v>
      </c>
    </row>
    <row r="68" spans="1:10" ht="21" hidden="1" customHeight="1" x14ac:dyDescent="0.2">
      <c r="A68" s="33" t="s">
        <v>74</v>
      </c>
      <c r="B68" s="34" t="s">
        <v>29</v>
      </c>
      <c r="C68" s="34" t="s">
        <v>14</v>
      </c>
      <c r="D68" s="34" t="s">
        <v>15</v>
      </c>
      <c r="E68" s="35">
        <v>49.99</v>
      </c>
      <c r="F68" s="36">
        <v>45307</v>
      </c>
      <c r="G68" s="36">
        <v>45307</v>
      </c>
      <c r="H68" s="37" t="str">
        <f>IFERROR(VLOOKUP(Tabela1[[#This Row],[Tag]],TAGS!$J$1:$K$11,2,0),"")</f>
        <v>Não essencial</v>
      </c>
      <c r="I68" s="38" t="str">
        <f t="shared" ref="I68:I131" si="1">IF(G68="","",TEXT(G68,"mmmm"))</f>
        <v>janeiro</v>
      </c>
      <c r="J68" s="39" t="str">
        <f>IF(Tabela1[[#This Row],[Caixa]]="Receita","Recebido",IF(F68="","",IF(G68="","",IF(G68&lt;F68,"Pago atrasado",IF(Tabela1[[#This Row],[Data do Pagamento / Compra]]&gt;Tabela1[[#This Row],[Data de Compra]],"Pago","Pago")))))</f>
        <v>Pago</v>
      </c>
    </row>
    <row r="69" spans="1:10" ht="21" hidden="1" customHeight="1" x14ac:dyDescent="0.2">
      <c r="A69" s="33" t="s">
        <v>52</v>
      </c>
      <c r="B69" s="34" t="s">
        <v>29</v>
      </c>
      <c r="C69" s="34" t="s">
        <v>13</v>
      </c>
      <c r="D69" s="34" t="s">
        <v>15</v>
      </c>
      <c r="E69" s="35">
        <v>11.6</v>
      </c>
      <c r="F69" s="36">
        <v>45308</v>
      </c>
      <c r="G69" s="36">
        <v>45308</v>
      </c>
      <c r="H69" s="37" t="str">
        <f>IFERROR(VLOOKUP(Tabela1[[#This Row],[Tag]],TAGS!$J$1:$K$11,2,0),"")</f>
        <v>Essencial</v>
      </c>
      <c r="I69" s="38" t="str">
        <f t="shared" si="1"/>
        <v>janeiro</v>
      </c>
      <c r="J69" s="39" t="str">
        <f>IF(Tabela1[[#This Row],[Caixa]]="Receita","Recebido",IF(F69="","",IF(G69="","",IF(G69&lt;F69,"Pago atrasado",IF(Tabela1[[#This Row],[Data do Pagamento / Compra]]&gt;Tabela1[[#This Row],[Data de Compra]],"Pago","Pago")))))</f>
        <v>Pago</v>
      </c>
    </row>
    <row r="70" spans="1:10" ht="21" hidden="1" customHeight="1" x14ac:dyDescent="0.2">
      <c r="A70" s="33" t="s">
        <v>52</v>
      </c>
      <c r="B70" s="34" t="s">
        <v>29</v>
      </c>
      <c r="C70" s="34" t="s">
        <v>13</v>
      </c>
      <c r="D70" s="34" t="s">
        <v>15</v>
      </c>
      <c r="E70" s="35">
        <v>12.3</v>
      </c>
      <c r="F70" s="36">
        <v>45308</v>
      </c>
      <c r="G70" s="36">
        <v>45308</v>
      </c>
      <c r="H70" s="37" t="str">
        <f>IFERROR(VLOOKUP(Tabela1[[#This Row],[Tag]],TAGS!$J$1:$K$11,2,0),"")</f>
        <v>Essencial</v>
      </c>
      <c r="I70" s="38" t="str">
        <f t="shared" si="1"/>
        <v>janeiro</v>
      </c>
      <c r="J70" s="39" t="str">
        <f>IF(Tabela1[[#This Row],[Caixa]]="Receita","Recebido",IF(F70="","",IF(G70="","",IF(G70&lt;F70,"Pago atrasado",IF(Tabela1[[#This Row],[Data do Pagamento / Compra]]&gt;Tabela1[[#This Row],[Data de Compra]],"Pago","Pago")))))</f>
        <v>Pago</v>
      </c>
    </row>
    <row r="71" spans="1:10" ht="21" hidden="1" customHeight="1" x14ac:dyDescent="0.2">
      <c r="A71" s="33" t="s">
        <v>55</v>
      </c>
      <c r="B71" s="34" t="s">
        <v>29</v>
      </c>
      <c r="C71" s="34" t="s">
        <v>14</v>
      </c>
      <c r="D71" s="34" t="s">
        <v>15</v>
      </c>
      <c r="E71" s="35">
        <v>13.9</v>
      </c>
      <c r="F71" s="36">
        <v>45308</v>
      </c>
      <c r="G71" s="36">
        <v>45308</v>
      </c>
      <c r="H71" s="37" t="str">
        <f>IFERROR(VLOOKUP(Tabela1[[#This Row],[Tag]],TAGS!$J$1:$K$11,2,0),"")</f>
        <v>Não essencial</v>
      </c>
      <c r="I71" s="38" t="str">
        <f t="shared" si="1"/>
        <v>janeiro</v>
      </c>
      <c r="J71" s="39" t="str">
        <f>IF(Tabela1[[#This Row],[Caixa]]="Receita","Recebido",IF(F71="","",IF(G71="","",IF(G71&lt;F71,"Pago atrasado",IF(Tabela1[[#This Row],[Data do Pagamento / Compra]]&gt;Tabela1[[#This Row],[Data de Compra]],"Pago","Pago")))))</f>
        <v>Pago</v>
      </c>
    </row>
    <row r="72" spans="1:10" ht="21" hidden="1" customHeight="1" x14ac:dyDescent="0.2">
      <c r="A72" s="33" t="s">
        <v>55</v>
      </c>
      <c r="B72" s="34" t="s">
        <v>29</v>
      </c>
      <c r="C72" s="34" t="s">
        <v>14</v>
      </c>
      <c r="D72" s="34" t="s">
        <v>15</v>
      </c>
      <c r="E72" s="35">
        <v>21.27</v>
      </c>
      <c r="F72" s="36">
        <v>45308</v>
      </c>
      <c r="G72" s="36">
        <v>45308</v>
      </c>
      <c r="H72" s="37" t="str">
        <f>IFERROR(VLOOKUP(Tabela1[[#This Row],[Tag]],TAGS!$J$1:$K$11,2,0),"")</f>
        <v>Não essencial</v>
      </c>
      <c r="I72" s="38" t="str">
        <f t="shared" si="1"/>
        <v>janeiro</v>
      </c>
      <c r="J72" s="39" t="str">
        <f>IF(Tabela1[[#This Row],[Caixa]]="Receita","Recebido",IF(F72="","",IF(G72="","",IF(G72&lt;F72,"Pago atrasado",IF(Tabela1[[#This Row],[Data do Pagamento / Compra]]&gt;Tabela1[[#This Row],[Data de Compra]],"Pago","Pago")))))</f>
        <v>Pago</v>
      </c>
    </row>
    <row r="73" spans="1:10" ht="21" hidden="1" customHeight="1" x14ac:dyDescent="0.2">
      <c r="A73" s="33" t="s">
        <v>52</v>
      </c>
      <c r="B73" s="34" t="s">
        <v>29</v>
      </c>
      <c r="C73" s="34" t="s">
        <v>13</v>
      </c>
      <c r="D73" s="34" t="s">
        <v>15</v>
      </c>
      <c r="E73" s="35">
        <v>27.61</v>
      </c>
      <c r="F73" s="36">
        <v>45309</v>
      </c>
      <c r="G73" s="36">
        <v>45309</v>
      </c>
      <c r="H73" s="37" t="str">
        <f>IFERROR(VLOOKUP(Tabela1[[#This Row],[Tag]],TAGS!$J$1:$K$11,2,0),"")</f>
        <v>Essencial</v>
      </c>
      <c r="I73" s="38" t="str">
        <f t="shared" si="1"/>
        <v>janeiro</v>
      </c>
      <c r="J73" s="39" t="str">
        <f>IF(Tabela1[[#This Row],[Caixa]]="Receita","Recebido",IF(F73="","",IF(G73="","",IF(G73&lt;F73,"Pago atrasado",IF(Tabela1[[#This Row],[Data do Pagamento / Compra]]&gt;Tabela1[[#This Row],[Data de Compra]],"Pago","Pago")))))</f>
        <v>Pago</v>
      </c>
    </row>
    <row r="74" spans="1:10" ht="21" hidden="1" customHeight="1" x14ac:dyDescent="0.2">
      <c r="A74" s="33" t="s">
        <v>52</v>
      </c>
      <c r="B74" s="34" t="s">
        <v>29</v>
      </c>
      <c r="C74" s="34" t="s">
        <v>13</v>
      </c>
      <c r="D74" s="34" t="s">
        <v>15</v>
      </c>
      <c r="E74" s="35">
        <v>11.3</v>
      </c>
      <c r="F74" s="36">
        <v>45309</v>
      </c>
      <c r="G74" s="36">
        <v>45309</v>
      </c>
      <c r="H74" s="37" t="str">
        <f>IFERROR(VLOOKUP(Tabela1[[#This Row],[Tag]],TAGS!$J$1:$K$11,2,0),"")</f>
        <v>Essencial</v>
      </c>
      <c r="I74" s="38" t="str">
        <f t="shared" si="1"/>
        <v>janeiro</v>
      </c>
      <c r="J74" s="39" t="str">
        <f>IF(Tabela1[[#This Row],[Caixa]]="Receita","Recebido",IF(F74="","",IF(G74="","",IF(G74&lt;F74,"Pago atrasado",IF(Tabela1[[#This Row],[Data do Pagamento / Compra]]&gt;Tabela1[[#This Row],[Data de Compra]],"Pago","Pago")))))</f>
        <v>Pago</v>
      </c>
    </row>
    <row r="75" spans="1:10" ht="21" hidden="1" customHeight="1" x14ac:dyDescent="0.2">
      <c r="A75" s="33" t="s">
        <v>25</v>
      </c>
      <c r="B75" s="34" t="s">
        <v>29</v>
      </c>
      <c r="C75" s="34" t="s">
        <v>21</v>
      </c>
      <c r="D75" s="34" t="s">
        <v>15</v>
      </c>
      <c r="E75" s="35">
        <v>25</v>
      </c>
      <c r="F75" s="36">
        <v>45309</v>
      </c>
      <c r="G75" s="36">
        <v>45309</v>
      </c>
      <c r="H75" s="37" t="str">
        <f>IFERROR(VLOOKUP(Tabela1[[#This Row],[Tag]],TAGS!$J$1:$K$11,2,0),"")</f>
        <v>Não essencial</v>
      </c>
      <c r="I75" s="38" t="str">
        <f t="shared" si="1"/>
        <v>janeiro</v>
      </c>
      <c r="J75" s="39" t="str">
        <f>IF(Tabela1[[#This Row],[Caixa]]="Receita","Recebido",IF(F75="","",IF(G75="","",IF(G75&lt;F75,"Pago atrasado",IF(Tabela1[[#This Row],[Data do Pagamento / Compra]]&gt;Tabela1[[#This Row],[Data de Compra]],"Pago","Pago")))))</f>
        <v>Pago</v>
      </c>
    </row>
    <row r="76" spans="1:10" ht="21" customHeight="1" x14ac:dyDescent="0.2">
      <c r="A76" s="33" t="s">
        <v>19</v>
      </c>
      <c r="B76" s="34" t="s">
        <v>29</v>
      </c>
      <c r="C76" s="34" t="s">
        <v>12</v>
      </c>
      <c r="D76" s="34" t="s">
        <v>15</v>
      </c>
      <c r="E76" s="35">
        <v>98.45</v>
      </c>
      <c r="F76" s="36">
        <v>45310</v>
      </c>
      <c r="G76" s="36">
        <v>45310</v>
      </c>
      <c r="H76" s="37" t="str">
        <f>IFERROR(VLOOKUP(Tabela1[[#This Row],[Tag]],TAGS!$J$1:$K$11,2,0),"")</f>
        <v>Essencial</v>
      </c>
      <c r="I76" s="38" t="str">
        <f t="shared" si="1"/>
        <v>janeiro</v>
      </c>
      <c r="J76" s="39" t="str">
        <f>IF(Tabela1[[#This Row],[Caixa]]="Receita","Recebido",IF(F76="","",IF(G76="","",IF(G76&lt;F76,"Pago atrasado",IF(Tabela1[[#This Row],[Data do Pagamento / Compra]]&gt;Tabela1[[#This Row],[Data de Compra]],"Pago","Pago")))))</f>
        <v>Pago</v>
      </c>
    </row>
    <row r="77" spans="1:10" ht="21" hidden="1" customHeight="1" x14ac:dyDescent="0.2">
      <c r="A77" s="33" t="s">
        <v>52</v>
      </c>
      <c r="B77" s="34" t="s">
        <v>29</v>
      </c>
      <c r="C77" s="34" t="s">
        <v>13</v>
      </c>
      <c r="D77" s="34" t="s">
        <v>15</v>
      </c>
      <c r="E77" s="35">
        <v>8.6</v>
      </c>
      <c r="F77" s="36">
        <v>45310</v>
      </c>
      <c r="G77" s="36">
        <v>45310</v>
      </c>
      <c r="H77" s="37" t="str">
        <f>IFERROR(VLOOKUP(Tabela1[[#This Row],[Tag]],TAGS!$J$1:$K$11,2,0),"")</f>
        <v>Essencial</v>
      </c>
      <c r="I77" s="38" t="str">
        <f t="shared" si="1"/>
        <v>janeiro</v>
      </c>
      <c r="J77" s="39" t="str">
        <f>IF(Tabela1[[#This Row],[Caixa]]="Receita","Recebido",IF(F77="","",IF(G77="","",IF(G77&lt;F77,"Pago atrasado",IF(Tabela1[[#This Row],[Data do Pagamento / Compra]]&gt;Tabela1[[#This Row],[Data de Compra]],"Pago","Pago")))))</f>
        <v>Pago</v>
      </c>
    </row>
    <row r="78" spans="1:10" ht="21" hidden="1" customHeight="1" x14ac:dyDescent="0.2">
      <c r="A78" s="33" t="s">
        <v>52</v>
      </c>
      <c r="B78" s="34" t="s">
        <v>29</v>
      </c>
      <c r="C78" s="34" t="s">
        <v>13</v>
      </c>
      <c r="D78" s="34" t="s">
        <v>15</v>
      </c>
      <c r="E78" s="35">
        <v>17.93</v>
      </c>
      <c r="F78" s="36">
        <v>45310</v>
      </c>
      <c r="G78" s="36">
        <v>45310</v>
      </c>
      <c r="H78" s="37" t="str">
        <f>IFERROR(VLOOKUP(Tabela1[[#This Row],[Tag]],TAGS!$J$1:$K$11,2,0),"")</f>
        <v>Essencial</v>
      </c>
      <c r="I78" s="38" t="str">
        <f t="shared" si="1"/>
        <v>janeiro</v>
      </c>
      <c r="J78" s="39" t="str">
        <f>IF(Tabela1[[#This Row],[Caixa]]="Receita","Recebido",IF(F78="","",IF(G78="","",IF(G78&lt;F78,"Pago atrasado",IF(Tabela1[[#This Row],[Data do Pagamento / Compra]]&gt;Tabela1[[#This Row],[Data de Compra]],"Pago","Pago")))))</f>
        <v>Pago</v>
      </c>
    </row>
    <row r="79" spans="1:10" ht="21" hidden="1" customHeight="1" x14ac:dyDescent="0.2">
      <c r="A79" s="33" t="s">
        <v>52</v>
      </c>
      <c r="B79" s="34" t="s">
        <v>29</v>
      </c>
      <c r="C79" s="34" t="s">
        <v>13</v>
      </c>
      <c r="D79" s="34" t="s">
        <v>15</v>
      </c>
      <c r="E79" s="35">
        <v>10</v>
      </c>
      <c r="F79" s="36">
        <v>45310</v>
      </c>
      <c r="G79" s="36">
        <v>45310</v>
      </c>
      <c r="H79" s="37" t="str">
        <f>IFERROR(VLOOKUP(Tabela1[[#This Row],[Tag]],TAGS!$J$1:$K$11,2,0),"")</f>
        <v>Essencial</v>
      </c>
      <c r="I79" s="38" t="str">
        <f t="shared" si="1"/>
        <v>janeiro</v>
      </c>
      <c r="J79" s="39" t="str">
        <f>IF(Tabela1[[#This Row],[Caixa]]="Receita","Recebido",IF(F79="","",IF(G79="","",IF(G79&lt;F79,"Pago atrasado",IF(Tabela1[[#This Row],[Data do Pagamento / Compra]]&gt;Tabela1[[#This Row],[Data de Compra]],"Pago","Pago")))))</f>
        <v>Pago</v>
      </c>
    </row>
    <row r="80" spans="1:10" ht="21" hidden="1" customHeight="1" x14ac:dyDescent="0.2">
      <c r="A80" s="33" t="s">
        <v>52</v>
      </c>
      <c r="B80" s="34" t="s">
        <v>29</v>
      </c>
      <c r="C80" s="34" t="s">
        <v>13</v>
      </c>
      <c r="D80" s="34" t="s">
        <v>15</v>
      </c>
      <c r="E80" s="35">
        <v>13.3</v>
      </c>
      <c r="F80" s="36">
        <v>45310</v>
      </c>
      <c r="G80" s="36">
        <v>45310</v>
      </c>
      <c r="H80" s="37" t="str">
        <f>IFERROR(VLOOKUP(Tabela1[[#This Row],[Tag]],TAGS!$J$1:$K$11,2,0),"")</f>
        <v>Essencial</v>
      </c>
      <c r="I80" s="38" t="str">
        <f t="shared" si="1"/>
        <v>janeiro</v>
      </c>
      <c r="J80" s="39" t="str">
        <f>IF(Tabela1[[#This Row],[Caixa]]="Receita","Recebido",IF(F80="","",IF(G80="","",IF(G80&lt;F80,"Pago atrasado",IF(Tabela1[[#This Row],[Data do Pagamento / Compra]]&gt;Tabela1[[#This Row],[Data de Compra]],"Pago","Pago")))))</f>
        <v>Pago</v>
      </c>
    </row>
    <row r="81" spans="1:10" ht="21" hidden="1" customHeight="1" x14ac:dyDescent="0.2">
      <c r="A81" s="33" t="s">
        <v>75</v>
      </c>
      <c r="B81" s="34" t="s">
        <v>29</v>
      </c>
      <c r="C81" s="34" t="s">
        <v>47</v>
      </c>
      <c r="D81" s="34" t="s">
        <v>15</v>
      </c>
      <c r="E81" s="35">
        <v>13.2</v>
      </c>
      <c r="F81" s="36">
        <v>45313</v>
      </c>
      <c r="G81" s="36">
        <v>45313</v>
      </c>
      <c r="H81" s="37" t="str">
        <f>IFERROR(VLOOKUP(Tabela1[[#This Row],[Tag]],TAGS!$J$1:$K$11,2,0),"")</f>
        <v>Essencial</v>
      </c>
      <c r="I81" s="38" t="str">
        <f t="shared" si="1"/>
        <v>janeiro</v>
      </c>
      <c r="J81" s="39" t="str">
        <f>IF(Tabela1[[#This Row],[Caixa]]="Receita","Recebido",IF(F81="","",IF(G81="","",IF(G81&lt;F81,"Pago atrasado",IF(Tabela1[[#This Row],[Data do Pagamento / Compra]]&gt;Tabela1[[#This Row],[Data de Compra]],"Pago","Pago")))))</f>
        <v>Pago</v>
      </c>
    </row>
    <row r="82" spans="1:10" ht="21" hidden="1" customHeight="1" x14ac:dyDescent="0.2">
      <c r="A82" s="33" t="s">
        <v>76</v>
      </c>
      <c r="B82" s="34" t="s">
        <v>29</v>
      </c>
      <c r="C82" s="34" t="s">
        <v>14</v>
      </c>
      <c r="D82" s="34" t="s">
        <v>15</v>
      </c>
      <c r="E82" s="35">
        <v>13.99</v>
      </c>
      <c r="F82" s="36">
        <v>45313</v>
      </c>
      <c r="G82" s="36">
        <v>45313</v>
      </c>
      <c r="H82" s="37" t="str">
        <f>IFERROR(VLOOKUP(Tabela1[[#This Row],[Tag]],TAGS!$J$1:$K$11,2,0),"")</f>
        <v>Não essencial</v>
      </c>
      <c r="I82" s="38" t="str">
        <f t="shared" si="1"/>
        <v>janeiro</v>
      </c>
      <c r="J82" s="39" t="str">
        <f>IF(Tabela1[[#This Row],[Caixa]]="Receita","Recebido",IF(F82="","",IF(G82="","",IF(G82&lt;F82,"Pago atrasado",IF(Tabela1[[#This Row],[Data do Pagamento / Compra]]&gt;Tabela1[[#This Row],[Data de Compra]],"Pago","Pago")))))</f>
        <v>Pago</v>
      </c>
    </row>
    <row r="83" spans="1:10" ht="21" hidden="1" customHeight="1" x14ac:dyDescent="0.2">
      <c r="A83" s="33" t="s">
        <v>52</v>
      </c>
      <c r="B83" s="34" t="s">
        <v>29</v>
      </c>
      <c r="C83" s="34" t="s">
        <v>13</v>
      </c>
      <c r="D83" s="34" t="s">
        <v>15</v>
      </c>
      <c r="E83" s="35">
        <v>19.55</v>
      </c>
      <c r="F83" s="36">
        <v>45313</v>
      </c>
      <c r="G83" s="36">
        <v>45313</v>
      </c>
      <c r="H83" s="37" t="str">
        <f>IFERROR(VLOOKUP(Tabela1[[#This Row],[Tag]],TAGS!$J$1:$K$11,2,0),"")</f>
        <v>Essencial</v>
      </c>
      <c r="I83" s="38" t="str">
        <f t="shared" si="1"/>
        <v>janeiro</v>
      </c>
      <c r="J83" s="39" t="str">
        <f>IF(Tabela1[[#This Row],[Caixa]]="Receita","Recebido",IF(F83="","",IF(G83="","",IF(G83&lt;F83,"Pago atrasado",IF(Tabela1[[#This Row],[Data do Pagamento / Compra]]&gt;Tabela1[[#This Row],[Data de Compra]],"Pago","Pago")))))</f>
        <v>Pago</v>
      </c>
    </row>
    <row r="84" spans="1:10" ht="21" hidden="1" customHeight="1" x14ac:dyDescent="0.2">
      <c r="A84" s="33" t="s">
        <v>52</v>
      </c>
      <c r="B84" s="34" t="s">
        <v>29</v>
      </c>
      <c r="C84" s="34" t="s">
        <v>13</v>
      </c>
      <c r="D84" s="34" t="s">
        <v>15</v>
      </c>
      <c r="E84" s="35">
        <v>13.6</v>
      </c>
      <c r="F84" s="36">
        <v>45313</v>
      </c>
      <c r="G84" s="36">
        <v>45313</v>
      </c>
      <c r="H84" s="37" t="str">
        <f>IFERROR(VLOOKUP(Tabela1[[#This Row],[Tag]],TAGS!$J$1:$K$11,2,0),"")</f>
        <v>Essencial</v>
      </c>
      <c r="I84" s="38" t="str">
        <f t="shared" si="1"/>
        <v>janeiro</v>
      </c>
      <c r="J84" s="39" t="str">
        <f>IF(Tabela1[[#This Row],[Caixa]]="Receita","Recebido",IF(F84="","",IF(G84="","",IF(G84&lt;F84,"Pago atrasado",IF(Tabela1[[#This Row],[Data do Pagamento / Compra]]&gt;Tabela1[[#This Row],[Data de Compra]],"Pago","Pago")))))</f>
        <v>Pago</v>
      </c>
    </row>
    <row r="85" spans="1:10" ht="21" hidden="1" customHeight="1" x14ac:dyDescent="0.2">
      <c r="A85" s="33" t="s">
        <v>52</v>
      </c>
      <c r="B85" s="34" t="s">
        <v>29</v>
      </c>
      <c r="C85" s="34" t="s">
        <v>13</v>
      </c>
      <c r="D85" s="34" t="s">
        <v>15</v>
      </c>
      <c r="E85" s="35">
        <v>11.7</v>
      </c>
      <c r="F85" s="36">
        <v>45313</v>
      </c>
      <c r="G85" s="36">
        <v>45313</v>
      </c>
      <c r="H85" s="37" t="str">
        <f>IFERROR(VLOOKUP(Tabela1[[#This Row],[Tag]],TAGS!$J$1:$K$11,2,0),"")</f>
        <v>Essencial</v>
      </c>
      <c r="I85" s="38" t="str">
        <f t="shared" si="1"/>
        <v>janeiro</v>
      </c>
      <c r="J85" s="39" t="str">
        <f>IF(Tabela1[[#This Row],[Caixa]]="Receita","Recebido",IF(F85="","",IF(G85="","",IF(G85&lt;F85,"Pago atrasado",IF(Tabela1[[#This Row],[Data do Pagamento / Compra]]&gt;Tabela1[[#This Row],[Data de Compra]],"Pago","Pago")))))</f>
        <v>Pago</v>
      </c>
    </row>
    <row r="86" spans="1:10" ht="21" hidden="1" customHeight="1" x14ac:dyDescent="0.2">
      <c r="A86" s="33" t="s">
        <v>72</v>
      </c>
      <c r="B86" s="34" t="s">
        <v>29</v>
      </c>
      <c r="C86" s="34" t="s">
        <v>14</v>
      </c>
      <c r="D86" s="34" t="s">
        <v>15</v>
      </c>
      <c r="E86" s="35">
        <v>16</v>
      </c>
      <c r="F86" s="36">
        <v>45313</v>
      </c>
      <c r="G86" s="36">
        <v>45313</v>
      </c>
      <c r="H86" s="37" t="str">
        <f>IFERROR(VLOOKUP(Tabela1[[#This Row],[Tag]],TAGS!$J$1:$K$11,2,0),"")</f>
        <v>Não essencial</v>
      </c>
      <c r="I86" s="38" t="str">
        <f t="shared" si="1"/>
        <v>janeiro</v>
      </c>
      <c r="J86" s="39" t="str">
        <f>IF(Tabela1[[#This Row],[Caixa]]="Receita","Recebido",IF(F86="","",IF(G86="","",IF(G86&lt;F86,"Pago atrasado",IF(Tabela1[[#This Row],[Data do Pagamento / Compra]]&gt;Tabela1[[#This Row],[Data de Compra]],"Pago","Pago")))))</f>
        <v>Pago</v>
      </c>
    </row>
    <row r="87" spans="1:10" ht="21" hidden="1" customHeight="1" x14ac:dyDescent="0.2">
      <c r="A87" s="33" t="s">
        <v>76</v>
      </c>
      <c r="B87" s="34" t="s">
        <v>29</v>
      </c>
      <c r="C87" s="34" t="s">
        <v>14</v>
      </c>
      <c r="D87" s="34" t="s">
        <v>15</v>
      </c>
      <c r="E87" s="35">
        <v>5.23</v>
      </c>
      <c r="F87" s="36">
        <v>45313</v>
      </c>
      <c r="G87" s="36">
        <v>45313</v>
      </c>
      <c r="H87" s="37" t="str">
        <f>IFERROR(VLOOKUP(Tabela1[[#This Row],[Tag]],TAGS!$J$1:$K$11,2,0),"")</f>
        <v>Não essencial</v>
      </c>
      <c r="I87" s="38" t="str">
        <f t="shared" si="1"/>
        <v>janeiro</v>
      </c>
      <c r="J87" s="39" t="str">
        <f>IF(Tabela1[[#This Row],[Caixa]]="Receita","Recebido",IF(F87="","",IF(G87="","",IF(G87&lt;F87,"Pago atrasado",IF(Tabela1[[#This Row],[Data do Pagamento / Compra]]&gt;Tabela1[[#This Row],[Data de Compra]],"Pago","Pago")))))</f>
        <v>Pago</v>
      </c>
    </row>
    <row r="88" spans="1:10" ht="21" hidden="1" customHeight="1" x14ac:dyDescent="0.2">
      <c r="A88" s="33" t="s">
        <v>52</v>
      </c>
      <c r="B88" s="34" t="s">
        <v>29</v>
      </c>
      <c r="C88" s="34" t="s">
        <v>13</v>
      </c>
      <c r="D88" s="34" t="s">
        <v>15</v>
      </c>
      <c r="E88" s="35">
        <v>13</v>
      </c>
      <c r="F88" s="36">
        <v>45314</v>
      </c>
      <c r="G88" s="36">
        <v>45314</v>
      </c>
      <c r="H88" s="37" t="str">
        <f>IFERROR(VLOOKUP(Tabela1[[#This Row],[Tag]],TAGS!$J$1:$K$11,2,0),"")</f>
        <v>Essencial</v>
      </c>
      <c r="I88" s="38" t="str">
        <f t="shared" si="1"/>
        <v>janeiro</v>
      </c>
      <c r="J88" s="39" t="str">
        <f>IF(Tabela1[[#This Row],[Caixa]]="Receita","Recebido",IF(F88="","",IF(G88="","",IF(G88&lt;F88,"Pago atrasado",IF(Tabela1[[#This Row],[Data do Pagamento / Compra]]&gt;Tabela1[[#This Row],[Data de Compra]],"Pago","Pago")))))</f>
        <v>Pago</v>
      </c>
    </row>
    <row r="89" spans="1:10" ht="21" hidden="1" customHeight="1" x14ac:dyDescent="0.2">
      <c r="A89" s="33" t="s">
        <v>52</v>
      </c>
      <c r="B89" s="34" t="s">
        <v>29</v>
      </c>
      <c r="C89" s="34" t="s">
        <v>13</v>
      </c>
      <c r="D89" s="34" t="s">
        <v>15</v>
      </c>
      <c r="E89" s="35">
        <v>17.03</v>
      </c>
      <c r="F89" s="36">
        <v>45314</v>
      </c>
      <c r="G89" s="36">
        <v>45314</v>
      </c>
      <c r="H89" s="37" t="str">
        <f>IFERROR(VLOOKUP(Tabela1[[#This Row],[Tag]],TAGS!$J$1:$K$11,2,0),"")</f>
        <v>Essencial</v>
      </c>
      <c r="I89" s="38" t="str">
        <f t="shared" si="1"/>
        <v>janeiro</v>
      </c>
      <c r="J89" s="39" t="str">
        <f>IF(Tabela1[[#This Row],[Caixa]]="Receita","Recebido",IF(F89="","",IF(G89="","",IF(G89&lt;F89,"Pago atrasado",IF(Tabela1[[#This Row],[Data do Pagamento / Compra]]&gt;Tabela1[[#This Row],[Data de Compra]],"Pago","Pago")))))</f>
        <v>Pago</v>
      </c>
    </row>
    <row r="90" spans="1:10" ht="21" hidden="1" customHeight="1" x14ac:dyDescent="0.2">
      <c r="A90" s="33" t="s">
        <v>52</v>
      </c>
      <c r="B90" s="34" t="s">
        <v>29</v>
      </c>
      <c r="C90" s="34" t="s">
        <v>13</v>
      </c>
      <c r="D90" s="34" t="s">
        <v>15</v>
      </c>
      <c r="E90" s="35">
        <v>1.1200000000000001</v>
      </c>
      <c r="F90" s="36">
        <v>45314</v>
      </c>
      <c r="G90" s="36">
        <v>45314</v>
      </c>
      <c r="H90" s="37" t="str">
        <f>IFERROR(VLOOKUP(Tabela1[[#This Row],[Tag]],TAGS!$J$1:$K$11,2,0),"")</f>
        <v>Essencial</v>
      </c>
      <c r="I90" s="38" t="str">
        <f t="shared" si="1"/>
        <v>janeiro</v>
      </c>
      <c r="J90" s="39" t="str">
        <f>IF(Tabela1[[#This Row],[Caixa]]="Receita","Recebido",IF(F90="","",IF(G90="","",IF(G90&lt;F90,"Pago atrasado",IF(Tabela1[[#This Row],[Data do Pagamento / Compra]]&gt;Tabela1[[#This Row],[Data de Compra]],"Pago","Pago")))))</f>
        <v>Pago</v>
      </c>
    </row>
    <row r="91" spans="1:10" ht="21" hidden="1" customHeight="1" x14ac:dyDescent="0.2">
      <c r="A91" s="33" t="s">
        <v>77</v>
      </c>
      <c r="B91" s="34" t="s">
        <v>29</v>
      </c>
      <c r="C91" s="34" t="s">
        <v>14</v>
      </c>
      <c r="D91" s="34" t="s">
        <v>15</v>
      </c>
      <c r="E91" s="35">
        <v>55</v>
      </c>
      <c r="F91" s="36">
        <v>45314</v>
      </c>
      <c r="G91" s="36">
        <v>45314</v>
      </c>
      <c r="H91" s="37" t="str">
        <f>IFERROR(VLOOKUP(Tabela1[[#This Row],[Tag]],TAGS!$J$1:$K$11,2,0),"")</f>
        <v>Não essencial</v>
      </c>
      <c r="I91" s="38" t="str">
        <f t="shared" si="1"/>
        <v>janeiro</v>
      </c>
      <c r="J91" s="39" t="str">
        <f>IF(Tabela1[[#This Row],[Caixa]]="Receita","Recebido",IF(F91="","",IF(G91="","",IF(G91&lt;F91,"Pago atrasado",IF(Tabela1[[#This Row],[Data do Pagamento / Compra]]&gt;Tabela1[[#This Row],[Data de Compra]],"Pago","Pago")))))</f>
        <v>Pago</v>
      </c>
    </row>
    <row r="92" spans="1:10" ht="21" hidden="1" customHeight="1" x14ac:dyDescent="0.2">
      <c r="A92" s="33" t="s">
        <v>78</v>
      </c>
      <c r="B92" s="34" t="s">
        <v>28</v>
      </c>
      <c r="C92" s="34" t="s">
        <v>31</v>
      </c>
      <c r="D92" s="34" t="s">
        <v>33</v>
      </c>
      <c r="E92" s="35">
        <v>516</v>
      </c>
      <c r="F92" s="36">
        <v>45314</v>
      </c>
      <c r="G92" s="36">
        <v>45314</v>
      </c>
      <c r="H92" s="37" t="str">
        <f>IFERROR(VLOOKUP(Tabela1[[#This Row],[Tag]],TAGS!$J$1:$K$11,2,0),"")</f>
        <v>Receita</v>
      </c>
      <c r="I92" s="38" t="str">
        <f t="shared" si="1"/>
        <v>janeiro</v>
      </c>
      <c r="J92" s="39" t="str">
        <f>IF(Tabela1[[#This Row],[Caixa]]="Receita","Recebido",IF(F92="","",IF(G92="","",IF(G92&lt;F92,"Pago atrasado",IF(Tabela1[[#This Row],[Data do Pagamento / Compra]]&gt;Tabela1[[#This Row],[Data de Compra]],"Pago","Pago")))))</f>
        <v>Recebido</v>
      </c>
    </row>
    <row r="93" spans="1:10" ht="21" hidden="1" customHeight="1" x14ac:dyDescent="0.2">
      <c r="A93" s="33" t="s">
        <v>22</v>
      </c>
      <c r="B93" s="34" t="s">
        <v>29</v>
      </c>
      <c r="C93" s="34" t="s">
        <v>20</v>
      </c>
      <c r="D93" s="34" t="s">
        <v>15</v>
      </c>
      <c r="E93" s="35">
        <v>251.1</v>
      </c>
      <c r="F93" s="36">
        <v>45315</v>
      </c>
      <c r="G93" s="36">
        <v>45315</v>
      </c>
      <c r="H93" s="37" t="str">
        <f>IFERROR(VLOOKUP(Tabela1[[#This Row],[Tag]],TAGS!$J$1:$K$11,2,0),"")</f>
        <v>Essencial</v>
      </c>
      <c r="I93" s="38" t="str">
        <f t="shared" si="1"/>
        <v>janeiro</v>
      </c>
      <c r="J93" s="39" t="str">
        <f>IF(Tabela1[[#This Row],[Caixa]]="Receita","Recebido",IF(F93="","",IF(G93="","",IF(G93&lt;F93,"Pago atrasado",IF(Tabela1[[#This Row],[Data do Pagamento / Compra]]&gt;Tabela1[[#This Row],[Data de Compra]],"Pago","Pago")))))</f>
        <v>Pago</v>
      </c>
    </row>
    <row r="94" spans="1:10" ht="21" hidden="1" customHeight="1" x14ac:dyDescent="0.2">
      <c r="A94" s="33" t="s">
        <v>12</v>
      </c>
      <c r="B94" s="34" t="s">
        <v>29</v>
      </c>
      <c r="C94" s="34" t="s">
        <v>12</v>
      </c>
      <c r="D94" s="34" t="s">
        <v>15</v>
      </c>
      <c r="E94" s="35">
        <v>17.64</v>
      </c>
      <c r="F94" s="36">
        <v>45315</v>
      </c>
      <c r="G94" s="36">
        <v>45315</v>
      </c>
      <c r="H94" s="37" t="str">
        <f>IFERROR(VLOOKUP(Tabela1[[#This Row],[Tag]],TAGS!$J$1:$K$11,2,0),"")</f>
        <v>Essencial</v>
      </c>
      <c r="I94" s="38" t="str">
        <f t="shared" si="1"/>
        <v>janeiro</v>
      </c>
      <c r="J94" s="39" t="str">
        <f>IF(Tabela1[[#This Row],[Caixa]]="Receita","Recebido",IF(F94="","",IF(G94="","",IF(G94&lt;F94,"Pago atrasado",IF(Tabela1[[#This Row],[Data do Pagamento / Compra]]&gt;Tabela1[[#This Row],[Data de Compra]],"Pago","Pago")))))</f>
        <v>Pago</v>
      </c>
    </row>
    <row r="95" spans="1:10" ht="21" hidden="1" customHeight="1" x14ac:dyDescent="0.2">
      <c r="A95" s="33" t="s">
        <v>79</v>
      </c>
      <c r="B95" s="34" t="s">
        <v>29</v>
      </c>
      <c r="C95" s="34" t="s">
        <v>12</v>
      </c>
      <c r="D95" s="34" t="s">
        <v>15</v>
      </c>
      <c r="E95" s="35">
        <v>12.25</v>
      </c>
      <c r="F95" s="36">
        <v>45315</v>
      </c>
      <c r="G95" s="36">
        <v>45315</v>
      </c>
      <c r="H95" s="37" t="str">
        <f>IFERROR(VLOOKUP(Tabela1[[#This Row],[Tag]],TAGS!$J$1:$K$11,2,0),"")</f>
        <v>Essencial</v>
      </c>
      <c r="I95" s="38" t="str">
        <f t="shared" si="1"/>
        <v>janeiro</v>
      </c>
      <c r="J95" s="39" t="str">
        <f>IF(Tabela1[[#This Row],[Caixa]]="Receita","Recebido",IF(F95="","",IF(G95="","",IF(G95&lt;F95,"Pago atrasado",IF(Tabela1[[#This Row],[Data do Pagamento / Compra]]&gt;Tabela1[[#This Row],[Data de Compra]],"Pago","Pago")))))</f>
        <v>Pago</v>
      </c>
    </row>
    <row r="96" spans="1:10" ht="21" hidden="1" customHeight="1" x14ac:dyDescent="0.2">
      <c r="A96" s="33" t="s">
        <v>52</v>
      </c>
      <c r="B96" s="34" t="s">
        <v>29</v>
      </c>
      <c r="C96" s="34" t="s">
        <v>13</v>
      </c>
      <c r="D96" s="34" t="s">
        <v>15</v>
      </c>
      <c r="E96" s="35">
        <v>15</v>
      </c>
      <c r="F96" s="36">
        <v>45315</v>
      </c>
      <c r="G96" s="36">
        <v>45315</v>
      </c>
      <c r="H96" s="37" t="str">
        <f>IFERROR(VLOOKUP(Tabela1[[#This Row],[Tag]],TAGS!$J$1:$K$11,2,0),"")</f>
        <v>Essencial</v>
      </c>
      <c r="I96" s="38" t="str">
        <f t="shared" si="1"/>
        <v>janeiro</v>
      </c>
      <c r="J96" s="39" t="str">
        <f>IF(Tabela1[[#This Row],[Caixa]]="Receita","Recebido",IF(F96="","",IF(G96="","",IF(G96&lt;F96,"Pago atrasado",IF(Tabela1[[#This Row],[Data do Pagamento / Compra]]&gt;Tabela1[[#This Row],[Data de Compra]],"Pago","Pago")))))</f>
        <v>Pago</v>
      </c>
    </row>
    <row r="97" spans="1:10" ht="21" customHeight="1" x14ac:dyDescent="0.2">
      <c r="A97" s="33" t="s">
        <v>19</v>
      </c>
      <c r="B97" s="34" t="s">
        <v>29</v>
      </c>
      <c r="C97" s="34" t="s">
        <v>12</v>
      </c>
      <c r="D97" s="34" t="s">
        <v>15</v>
      </c>
      <c r="E97" s="35">
        <v>58.48</v>
      </c>
      <c r="F97" s="36">
        <v>45316</v>
      </c>
      <c r="G97" s="36">
        <v>45316</v>
      </c>
      <c r="H97" s="37" t="str">
        <f>IFERROR(VLOOKUP(Tabela1[[#This Row],[Tag]],TAGS!$J$1:$K$11,2,0),"")</f>
        <v>Essencial</v>
      </c>
      <c r="I97" s="38" t="str">
        <f t="shared" si="1"/>
        <v>janeiro</v>
      </c>
      <c r="J97" s="39" t="str">
        <f>IF(Tabela1[[#This Row],[Caixa]]="Receita","Recebido",IF(F97="","",IF(G97="","",IF(G97&lt;F97,"Pago atrasado",IF(Tabela1[[#This Row],[Data do Pagamento / Compra]]&gt;Tabela1[[#This Row],[Data de Compra]],"Pago","Pago")))))</f>
        <v>Pago</v>
      </c>
    </row>
    <row r="98" spans="1:10" ht="21" hidden="1" customHeight="1" x14ac:dyDescent="0.2">
      <c r="A98" s="33" t="s">
        <v>52</v>
      </c>
      <c r="B98" s="34" t="s">
        <v>29</v>
      </c>
      <c r="C98" s="34" t="s">
        <v>13</v>
      </c>
      <c r="D98" s="34" t="s">
        <v>15</v>
      </c>
      <c r="E98" s="35">
        <v>8.4</v>
      </c>
      <c r="F98" s="36">
        <v>45316</v>
      </c>
      <c r="G98" s="36">
        <v>45316</v>
      </c>
      <c r="H98" s="37" t="str">
        <f>IFERROR(VLOOKUP(Tabela1[[#This Row],[Tag]],TAGS!$J$1:$K$11,2,0),"")</f>
        <v>Essencial</v>
      </c>
      <c r="I98" s="38" t="str">
        <f t="shared" si="1"/>
        <v>janeiro</v>
      </c>
      <c r="J98" s="39" t="str">
        <f>IF(Tabela1[[#This Row],[Caixa]]="Receita","Recebido",IF(F98="","",IF(G98="","",IF(G98&lt;F98,"Pago atrasado",IF(Tabela1[[#This Row],[Data do Pagamento / Compra]]&gt;Tabela1[[#This Row],[Data de Compra]],"Pago","Pago")))))</f>
        <v>Pago</v>
      </c>
    </row>
    <row r="99" spans="1:10" ht="21" hidden="1" customHeight="1" x14ac:dyDescent="0.2">
      <c r="A99" s="33" t="s">
        <v>52</v>
      </c>
      <c r="B99" s="34" t="s">
        <v>29</v>
      </c>
      <c r="C99" s="34" t="s">
        <v>13</v>
      </c>
      <c r="D99" s="34" t="s">
        <v>15</v>
      </c>
      <c r="E99" s="35">
        <v>18.18</v>
      </c>
      <c r="F99" s="36">
        <v>45316</v>
      </c>
      <c r="G99" s="36">
        <v>45316</v>
      </c>
      <c r="H99" s="37" t="str">
        <f>IFERROR(VLOOKUP(Tabela1[[#This Row],[Tag]],TAGS!$J$1:$K$11,2,0),"")</f>
        <v>Essencial</v>
      </c>
      <c r="I99" s="38" t="str">
        <f t="shared" si="1"/>
        <v>janeiro</v>
      </c>
      <c r="J99" s="39" t="str">
        <f>IF(Tabela1[[#This Row],[Caixa]]="Receita","Recebido",IF(F99="","",IF(G99="","",IF(G99&lt;F99,"Pago atrasado",IF(Tabela1[[#This Row],[Data do Pagamento / Compra]]&gt;Tabela1[[#This Row],[Data de Compra]],"Pago","Pago")))))</f>
        <v>Pago</v>
      </c>
    </row>
    <row r="100" spans="1:10" ht="21" hidden="1" customHeight="1" x14ac:dyDescent="0.2">
      <c r="A100" s="33" t="s">
        <v>52</v>
      </c>
      <c r="B100" s="34" t="s">
        <v>29</v>
      </c>
      <c r="C100" s="34" t="s">
        <v>13</v>
      </c>
      <c r="D100" s="34" t="s">
        <v>15</v>
      </c>
      <c r="E100" s="35">
        <v>11.2</v>
      </c>
      <c r="F100" s="36">
        <v>45316</v>
      </c>
      <c r="G100" s="36">
        <v>45316</v>
      </c>
      <c r="H100" s="37" t="str">
        <f>IFERROR(VLOOKUP(Tabela1[[#This Row],[Tag]],TAGS!$J$1:$K$11,2,0),"")</f>
        <v>Essencial</v>
      </c>
      <c r="I100" s="38" t="str">
        <f t="shared" si="1"/>
        <v>janeiro</v>
      </c>
      <c r="J100" s="39" t="str">
        <f>IF(Tabela1[[#This Row],[Caixa]]="Receita","Recebido",IF(F100="","",IF(G100="","",IF(G100&lt;F100,"Pago atrasado",IF(Tabela1[[#This Row],[Data do Pagamento / Compra]]&gt;Tabela1[[#This Row],[Data de Compra]],"Pago","Pago")))))</f>
        <v>Pago</v>
      </c>
    </row>
    <row r="101" spans="1:10" ht="21" hidden="1" customHeight="1" x14ac:dyDescent="0.2">
      <c r="A101" s="33" t="s">
        <v>81</v>
      </c>
      <c r="B101" s="34" t="s">
        <v>29</v>
      </c>
      <c r="C101" s="34" t="s">
        <v>13</v>
      </c>
      <c r="D101" s="34" t="s">
        <v>15</v>
      </c>
      <c r="E101" s="35">
        <v>18.05</v>
      </c>
      <c r="F101" s="36">
        <v>45317</v>
      </c>
      <c r="G101" s="36">
        <v>45317</v>
      </c>
      <c r="H101" s="37" t="str">
        <f>IFERROR(VLOOKUP(Tabela1[[#This Row],[Tag]],TAGS!$J$1:$K$11,2,0),"")</f>
        <v>Essencial</v>
      </c>
      <c r="I101" s="38" t="str">
        <f t="shared" si="1"/>
        <v>janeiro</v>
      </c>
      <c r="J101" s="39" t="str">
        <f>IF(Tabela1[[#This Row],[Caixa]]="Receita","Recebido",IF(F101="","",IF(G101="","",IF(G101&lt;F101,"Pago atrasado",IF(Tabela1[[#This Row],[Data do Pagamento / Compra]]&gt;Tabela1[[#This Row],[Data de Compra]],"Pago","Pago")))))</f>
        <v>Pago</v>
      </c>
    </row>
    <row r="102" spans="1:10" ht="21" hidden="1" customHeight="1" x14ac:dyDescent="0.2">
      <c r="A102" s="33" t="s">
        <v>78</v>
      </c>
      <c r="B102" s="34" t="s">
        <v>28</v>
      </c>
      <c r="C102" s="34" t="s">
        <v>31</v>
      </c>
      <c r="D102" s="34" t="s">
        <v>33</v>
      </c>
      <c r="E102" s="35">
        <v>2030.6</v>
      </c>
      <c r="F102" s="36">
        <v>45328</v>
      </c>
      <c r="G102" s="36">
        <v>45328</v>
      </c>
      <c r="H102" s="37" t="str">
        <f>IFERROR(VLOOKUP(Tabela1[[#This Row],[Tag]],TAGS!$J$1:$K$11,2,0),"")</f>
        <v>Receita</v>
      </c>
      <c r="I102" s="38" t="str">
        <f t="shared" si="1"/>
        <v>fevereiro</v>
      </c>
      <c r="J102" s="39" t="str">
        <f>IF(Tabela1[[#This Row],[Caixa]]="Receita","Recebido",IF(F102="","",IF(G102="","",IF(G102&lt;F102,"Pago atrasado",IF(Tabela1[[#This Row],[Data do Pagamento / Compra]]&gt;Tabela1[[#This Row],[Data de Compra]],"Pago","Pago")))))</f>
        <v>Recebido</v>
      </c>
    </row>
    <row r="103" spans="1:10" ht="21" hidden="1" customHeight="1" x14ac:dyDescent="0.2">
      <c r="A103" s="33" t="s">
        <v>54</v>
      </c>
      <c r="B103" s="34" t="s">
        <v>29</v>
      </c>
      <c r="C103" s="34" t="s">
        <v>21</v>
      </c>
      <c r="D103" s="34" t="s">
        <v>5</v>
      </c>
      <c r="E103" s="35">
        <v>200</v>
      </c>
      <c r="F103" s="36">
        <v>45329</v>
      </c>
      <c r="G103" s="36">
        <v>45329</v>
      </c>
      <c r="H103" s="37" t="str">
        <f>IFERROR(VLOOKUP(Tabela1[[#This Row],[Tag]],TAGS!$J$1:$K$11,2,0),"")</f>
        <v>Não essencial</v>
      </c>
      <c r="I103" s="38" t="str">
        <f t="shared" si="1"/>
        <v>fevereiro</v>
      </c>
      <c r="J103" s="39" t="str">
        <f>IF(Tabela1[[#This Row],[Caixa]]="Receita","Recebido",IF(F103="","",IF(G103="","",IF(G103&lt;F103,"Pago atrasado",IF(Tabela1[[#This Row],[Data do Pagamento / Compra]]&gt;Tabela1[[#This Row],[Data de Compra]],"Pago","Pago")))))</f>
        <v>Pago</v>
      </c>
    </row>
    <row r="104" spans="1:10" ht="21" hidden="1" customHeight="1" x14ac:dyDescent="0.2">
      <c r="A104" s="33" t="s">
        <v>82</v>
      </c>
      <c r="B104" s="34" t="s">
        <v>29</v>
      </c>
      <c r="C104" s="34" t="s">
        <v>14</v>
      </c>
      <c r="D104" s="34" t="s">
        <v>15</v>
      </c>
      <c r="E104" s="35">
        <v>25</v>
      </c>
      <c r="F104" s="36">
        <v>45317</v>
      </c>
      <c r="G104" s="36">
        <v>45317</v>
      </c>
      <c r="H104" s="37" t="str">
        <f>IFERROR(VLOOKUP(Tabela1[[#This Row],[Tag]],TAGS!$J$1:$K$11,2,0),"")</f>
        <v>Não essencial</v>
      </c>
      <c r="I104" s="38" t="str">
        <f t="shared" si="1"/>
        <v>janeiro</v>
      </c>
      <c r="J104" s="39" t="str">
        <f>IF(Tabela1[[#This Row],[Caixa]]="Receita","Recebido",IF(F104="","",IF(G104="","",IF(G104&lt;F104,"Pago atrasado",IF(Tabela1[[#This Row],[Data do Pagamento / Compra]]&gt;Tabela1[[#This Row],[Data de Compra]],"Pago","Pago")))))</f>
        <v>Pago</v>
      </c>
    </row>
    <row r="105" spans="1:10" ht="21" hidden="1" customHeight="1" x14ac:dyDescent="0.2">
      <c r="A105" s="33" t="s">
        <v>83</v>
      </c>
      <c r="B105" s="34" t="s">
        <v>29</v>
      </c>
      <c r="C105" s="34" t="s">
        <v>14</v>
      </c>
      <c r="D105" s="34" t="s">
        <v>15</v>
      </c>
      <c r="E105" s="35">
        <v>12.49</v>
      </c>
      <c r="F105" s="36">
        <v>45341</v>
      </c>
      <c r="G105" s="36">
        <v>45341</v>
      </c>
      <c r="H105" s="37" t="str">
        <f>IFERROR(VLOOKUP(Tabela1[[#This Row],[Tag]],TAGS!$J$1:$K$11,2,0),"")</f>
        <v>Não essencial</v>
      </c>
      <c r="I105" s="38" t="str">
        <f t="shared" si="1"/>
        <v>fevereiro</v>
      </c>
      <c r="J105" s="39" t="str">
        <f>IF(Tabela1[[#This Row],[Caixa]]="Receita","Recebido",IF(F105="","",IF(G105="","",IF(G105&lt;F105,"Pago atrasado",IF(Tabela1[[#This Row],[Data do Pagamento / Compra]]&gt;Tabela1[[#This Row],[Data de Compra]],"Pago","Pago")))))</f>
        <v>Pago</v>
      </c>
    </row>
    <row r="106" spans="1:10" ht="21" hidden="1" customHeight="1" x14ac:dyDescent="0.2">
      <c r="A106" s="33" t="s">
        <v>55</v>
      </c>
      <c r="B106" s="34" t="s">
        <v>29</v>
      </c>
      <c r="C106" s="34" t="s">
        <v>14</v>
      </c>
      <c r="D106" s="34" t="s">
        <v>15</v>
      </c>
      <c r="E106" s="41">
        <v>25.97</v>
      </c>
      <c r="F106" s="42">
        <v>45320</v>
      </c>
      <c r="G106" s="42">
        <v>45320</v>
      </c>
      <c r="H106" s="37" t="str">
        <f>IFERROR(VLOOKUP(Tabela1[[#This Row],[Tag]],TAGS!$J$1:$K$11,2,0),"")</f>
        <v>Não essencial</v>
      </c>
      <c r="I106" s="43" t="str">
        <f t="shared" si="1"/>
        <v>janeiro</v>
      </c>
      <c r="J106" s="39" t="str">
        <f>IF(Tabela1[[#This Row],[Caixa]]="Receita","Recebido",IF(F106="","",IF(G106="","",IF(G106&lt;F106,"Pago atrasado",IF(Tabela1[[#This Row],[Data do Pagamento / Compra]]&gt;Tabela1[[#This Row],[Data de Compra]],"Pago","Pago")))))</f>
        <v>Pago</v>
      </c>
    </row>
    <row r="107" spans="1:10" ht="21" hidden="1" customHeight="1" x14ac:dyDescent="0.2">
      <c r="A107" s="33" t="s">
        <v>55</v>
      </c>
      <c r="B107" s="34" t="s">
        <v>29</v>
      </c>
      <c r="C107" s="34" t="s">
        <v>14</v>
      </c>
      <c r="D107" s="34" t="s">
        <v>15</v>
      </c>
      <c r="E107" s="41">
        <v>5.14</v>
      </c>
      <c r="F107" s="42">
        <v>45320</v>
      </c>
      <c r="G107" s="42">
        <v>45320</v>
      </c>
      <c r="H107" s="37" t="str">
        <f>IFERROR(VLOOKUP(Tabela1[[#This Row],[Tag]],TAGS!$J$1:$K$11,2,0),"")</f>
        <v>Não essencial</v>
      </c>
      <c r="I107" s="43" t="str">
        <f t="shared" si="1"/>
        <v>janeiro</v>
      </c>
      <c r="J107" s="39" t="str">
        <f>IF(Tabela1[[#This Row],[Caixa]]="Receita","Recebido",IF(F107="","",IF(G107="","",IF(G107&lt;F107,"Pago atrasado",IF(Tabela1[[#This Row],[Data do Pagamento / Compra]]&gt;Tabela1[[#This Row],[Data de Compra]],"Pago","Pago")))))</f>
        <v>Pago</v>
      </c>
    </row>
    <row r="108" spans="1:10" ht="21" hidden="1" customHeight="1" x14ac:dyDescent="0.2">
      <c r="A108" s="40" t="s">
        <v>84</v>
      </c>
      <c r="B108" s="34" t="s">
        <v>29</v>
      </c>
      <c r="C108" s="44" t="s">
        <v>12</v>
      </c>
      <c r="D108" s="34" t="s">
        <v>15</v>
      </c>
      <c r="E108" s="41">
        <v>14.08</v>
      </c>
      <c r="F108" s="42">
        <v>45322</v>
      </c>
      <c r="G108" s="42">
        <v>45322</v>
      </c>
      <c r="H108" s="37" t="str">
        <f>IFERROR(VLOOKUP(Tabela1[[#This Row],[Tag]],TAGS!$J$1:$K$11,2,0),"")</f>
        <v>Essencial</v>
      </c>
      <c r="I108" s="43" t="str">
        <f t="shared" si="1"/>
        <v>janeiro</v>
      </c>
      <c r="J108" s="45" t="str">
        <f>IF(Tabela1[[#This Row],[Caixa]]="Receita","Recebido",IF(F108="","",IF(G108="","",IF(G108&lt;F108,"Pago atrasado",IF(Tabela1[[#This Row],[Data do Pagamento / Compra]]&gt;Tabela1[[#This Row],[Data de Compra]],"Pago","Pago")))))</f>
        <v>Pago</v>
      </c>
    </row>
    <row r="109" spans="1:10" ht="21" hidden="1" customHeight="1" x14ac:dyDescent="0.2">
      <c r="A109" s="33" t="s">
        <v>55</v>
      </c>
      <c r="B109" s="34" t="s">
        <v>29</v>
      </c>
      <c r="C109" s="34" t="s">
        <v>14</v>
      </c>
      <c r="D109" s="34" t="s">
        <v>15</v>
      </c>
      <c r="E109" s="35">
        <v>25.96</v>
      </c>
      <c r="F109" s="36">
        <v>45324</v>
      </c>
      <c r="G109" s="36">
        <v>45324</v>
      </c>
      <c r="H109" s="37" t="str">
        <f>IFERROR(VLOOKUP(Tabela1[[#This Row],[Tag]],TAGS!$J$1:$K$11,2,0),"")</f>
        <v>Não essencial</v>
      </c>
      <c r="I109" s="38" t="str">
        <f t="shared" si="1"/>
        <v>fevereiro</v>
      </c>
      <c r="J109" s="39" t="str">
        <f>IF(Tabela1[[#This Row],[Caixa]]="Receita","Recebido",IF(F109="","",IF(G109="","",IF(G109&lt;F109,"Pago atrasado",IF(Tabela1[[#This Row],[Data do Pagamento / Compra]]&gt;Tabela1[[#This Row],[Data de Compra]],"Pago","Pago")))))</f>
        <v>Pago</v>
      </c>
    </row>
    <row r="110" spans="1:10" ht="21" hidden="1" customHeight="1" x14ac:dyDescent="0.2">
      <c r="A110" s="33" t="s">
        <v>85</v>
      </c>
      <c r="B110" s="33" t="s">
        <v>29</v>
      </c>
      <c r="C110" s="34" t="s">
        <v>14</v>
      </c>
      <c r="D110" s="34" t="s">
        <v>15</v>
      </c>
      <c r="E110" s="35">
        <v>5</v>
      </c>
      <c r="F110" s="36">
        <v>45324</v>
      </c>
      <c r="G110" s="36">
        <v>45324</v>
      </c>
      <c r="H110" s="37" t="str">
        <f>IFERROR(VLOOKUP(Tabela1[[#This Row],[Tag]],TAGS!$J$1:$K$11,2,0),"")</f>
        <v>Não essencial</v>
      </c>
      <c r="I110" s="38" t="str">
        <f t="shared" si="1"/>
        <v>fevereiro</v>
      </c>
      <c r="J110" s="39" t="str">
        <f>IF(Tabela1[[#This Row],[Caixa]]="Receita","Recebido",IF(F110="","",IF(G110="","",IF(G110&lt;F110,"Pago atrasado",IF(Tabela1[[#This Row],[Data do Pagamento / Compra]]&gt;Tabela1[[#This Row],[Data de Compra]],"Pago","Pago")))))</f>
        <v>Pago</v>
      </c>
    </row>
    <row r="111" spans="1:10" ht="21" hidden="1" customHeight="1" x14ac:dyDescent="0.2">
      <c r="A111" s="33" t="s">
        <v>86</v>
      </c>
      <c r="B111" s="34" t="s">
        <v>29</v>
      </c>
      <c r="C111" s="34" t="s">
        <v>18</v>
      </c>
      <c r="D111" s="34" t="s">
        <v>15</v>
      </c>
      <c r="E111" s="35">
        <v>90</v>
      </c>
      <c r="F111" s="36">
        <v>45327</v>
      </c>
      <c r="G111" s="36">
        <v>45327</v>
      </c>
      <c r="H111" s="37" t="str">
        <f>IFERROR(VLOOKUP(Tabela1[[#This Row],[Tag]],TAGS!$J$1:$K$11,2,0),"")</f>
        <v>Não essencial</v>
      </c>
      <c r="I111" s="38" t="str">
        <f t="shared" si="1"/>
        <v>fevereiro</v>
      </c>
      <c r="J111" s="39" t="str">
        <f>IF(Tabela1[[#This Row],[Caixa]]="Receita","Recebido",IF(F111="","",IF(G111="","",IF(G111&lt;F111,"Pago atrasado",IF(Tabela1[[#This Row],[Data do Pagamento / Compra]]&gt;Tabela1[[#This Row],[Data de Compra]],"Pago","Pago")))))</f>
        <v>Pago</v>
      </c>
    </row>
    <row r="112" spans="1:10" ht="21" hidden="1" customHeight="1" x14ac:dyDescent="0.2">
      <c r="A112" s="33" t="s">
        <v>23</v>
      </c>
      <c r="B112" s="34" t="s">
        <v>29</v>
      </c>
      <c r="C112" s="34" t="s">
        <v>21</v>
      </c>
      <c r="D112" s="34" t="s">
        <v>5</v>
      </c>
      <c r="E112" s="35">
        <v>90.89</v>
      </c>
      <c r="F112" s="36">
        <v>45329</v>
      </c>
      <c r="G112" s="36">
        <v>45329</v>
      </c>
      <c r="H112" s="37" t="str">
        <f>IFERROR(VLOOKUP(Tabela1[[#This Row],[Tag]],TAGS!$J$1:$K$11,2,0),"")</f>
        <v>Não essencial</v>
      </c>
      <c r="I112" s="38" t="str">
        <f t="shared" si="1"/>
        <v>fevereiro</v>
      </c>
      <c r="J112" s="39" t="str">
        <f>IF(Tabela1[[#This Row],[Caixa]]="Receita","Recebido",IF(F112="","",IF(G112="","",IF(G112&lt;F112,"Pago atrasado",IF(Tabela1[[#This Row],[Data do Pagamento / Compra]]&gt;Tabela1[[#This Row],[Data de Compra]],"Pago","Pago")))))</f>
        <v>Pago</v>
      </c>
    </row>
    <row r="113" spans="1:10" ht="21" hidden="1" customHeight="1" x14ac:dyDescent="0.2">
      <c r="A113" s="33" t="s">
        <v>87</v>
      </c>
      <c r="B113" s="34" t="s">
        <v>29</v>
      </c>
      <c r="C113" s="34" t="s">
        <v>21</v>
      </c>
      <c r="D113" s="34" t="s">
        <v>89</v>
      </c>
      <c r="E113" s="35">
        <v>326</v>
      </c>
      <c r="F113" s="36">
        <v>45302</v>
      </c>
      <c r="G113" s="36">
        <v>45329</v>
      </c>
      <c r="H113" s="37" t="str">
        <f>IFERROR(VLOOKUP(Tabela1[[#This Row],[Tag]],TAGS!$J$1:$K$11,2,0),"")</f>
        <v>Não essencial</v>
      </c>
      <c r="I113" s="38" t="str">
        <f t="shared" si="1"/>
        <v>fevereiro</v>
      </c>
      <c r="J113" s="39" t="str">
        <f>IF(Tabela1[[#This Row],[Caixa]]="Receita","Recebido",IF(F113="","",IF(G113="","",IF(G113&lt;F113,"Pago atrasado",IF(Tabela1[[#This Row],[Data do Pagamento / Compra]]&gt;Tabela1[[#This Row],[Data de Compra]],"Pago","Pago")))))</f>
        <v>Pago</v>
      </c>
    </row>
    <row r="114" spans="1:10" ht="21" hidden="1" customHeight="1" x14ac:dyDescent="0.2">
      <c r="A114" s="33" t="s">
        <v>90</v>
      </c>
      <c r="B114" s="34" t="s">
        <v>29</v>
      </c>
      <c r="C114" s="34" t="s">
        <v>14</v>
      </c>
      <c r="D114" s="34" t="s">
        <v>89</v>
      </c>
      <c r="E114" s="35">
        <v>157</v>
      </c>
      <c r="F114" s="36">
        <v>45302</v>
      </c>
      <c r="G114" s="36">
        <v>45329</v>
      </c>
      <c r="H114" s="37" t="str">
        <f>IFERROR(VLOOKUP(Tabela1[[#This Row],[Tag]],TAGS!$J$1:$K$11,2,0),"")</f>
        <v>Não essencial</v>
      </c>
      <c r="I114" s="38" t="str">
        <f t="shared" si="1"/>
        <v>fevereiro</v>
      </c>
      <c r="J114" s="39" t="str">
        <f>IF(Tabela1[[#This Row],[Caixa]]="Receita","Recebido",IF(F114="","",IF(G114="","",IF(G114&lt;F114,"Pago atrasado",IF(Tabela1[[#This Row],[Data do Pagamento / Compra]]&gt;Tabela1[[#This Row],[Data de Compra]],"Pago","Pago")))))</f>
        <v>Pago</v>
      </c>
    </row>
    <row r="115" spans="1:10" ht="21" hidden="1" customHeight="1" x14ac:dyDescent="0.2">
      <c r="A115" s="33" t="s">
        <v>91</v>
      </c>
      <c r="B115" s="34" t="s">
        <v>29</v>
      </c>
      <c r="C115" s="34" t="s">
        <v>18</v>
      </c>
      <c r="D115" s="34" t="s">
        <v>89</v>
      </c>
      <c r="E115" s="35">
        <v>109</v>
      </c>
      <c r="F115" s="36">
        <v>45302</v>
      </c>
      <c r="G115" s="36">
        <v>45329</v>
      </c>
      <c r="H115" s="37" t="str">
        <f>IFERROR(VLOOKUP(Tabela1[[#This Row],[Tag]],TAGS!$J$1:$K$11,2,0),"")</f>
        <v>Não essencial</v>
      </c>
      <c r="I115" s="38" t="str">
        <f t="shared" si="1"/>
        <v>fevereiro</v>
      </c>
      <c r="J115" s="39" t="str">
        <f>IF(Tabela1[[#This Row],[Caixa]]="Receita","Recebido",IF(F115="","",IF(G115="","",IF(G115&lt;F115,"Pago atrasado",IF(Tabela1[[#This Row],[Data do Pagamento / Compra]]&gt;Tabela1[[#This Row],[Data de Compra]],"Pago","Pago")))))</f>
        <v>Pago</v>
      </c>
    </row>
    <row r="116" spans="1:10" ht="21" hidden="1" customHeight="1" x14ac:dyDescent="0.2">
      <c r="A116" s="33" t="s">
        <v>106</v>
      </c>
      <c r="B116" s="34" t="s">
        <v>29</v>
      </c>
      <c r="C116" s="34" t="s">
        <v>20</v>
      </c>
      <c r="D116" s="34" t="s">
        <v>88</v>
      </c>
      <c r="E116" s="35">
        <v>29.9</v>
      </c>
      <c r="F116" s="36">
        <v>45302</v>
      </c>
      <c r="G116" s="36">
        <v>45329</v>
      </c>
      <c r="H116" s="37" t="str">
        <f>IFERROR(VLOOKUP(Tabela1[[#This Row],[Tag]],TAGS!$J$1:$K$11,2,0),"")</f>
        <v>Essencial</v>
      </c>
      <c r="I116" s="38" t="str">
        <f t="shared" si="1"/>
        <v>fevereiro</v>
      </c>
      <c r="J116" s="39" t="str">
        <f>IF(Tabela1[[#This Row],[Caixa]]="Receita","Recebido",IF(F116="","",IF(G116="","",IF(G116&lt;F116,"Pago atrasado",IF(Tabela1[[#This Row],[Data do Pagamento / Compra]]&gt;Tabela1[[#This Row],[Data de Compra]],"Pago","Pago")))))</f>
        <v>Pago</v>
      </c>
    </row>
    <row r="117" spans="1:10" ht="21" hidden="1" customHeight="1" x14ac:dyDescent="0.2">
      <c r="A117" s="33" t="s">
        <v>92</v>
      </c>
      <c r="B117" s="34" t="s">
        <v>29</v>
      </c>
      <c r="C117" s="34" t="s">
        <v>20</v>
      </c>
      <c r="D117" s="34" t="s">
        <v>88</v>
      </c>
      <c r="E117" s="35">
        <v>29.9</v>
      </c>
      <c r="F117" s="36">
        <v>45302</v>
      </c>
      <c r="G117" s="36">
        <v>45329</v>
      </c>
      <c r="H117" s="37" t="str">
        <f>IFERROR(VLOOKUP(Tabela1[[#This Row],[Tag]],TAGS!$J$1:$K$11,2,0),"")</f>
        <v>Essencial</v>
      </c>
      <c r="I117" s="38" t="str">
        <f t="shared" si="1"/>
        <v>fevereiro</v>
      </c>
      <c r="J117" s="39" t="str">
        <f>IF(Tabela1[[#This Row],[Caixa]]="Receita","Recebido",IF(F117="","",IF(G117="","",IF(G117&lt;F117,"Pago atrasado",IF(Tabela1[[#This Row],[Data do Pagamento / Compra]]&gt;Tabela1[[#This Row],[Data de Compra]],"Pago","Pago")))))</f>
        <v>Pago</v>
      </c>
    </row>
    <row r="118" spans="1:10" ht="21" hidden="1" customHeight="1" x14ac:dyDescent="0.2">
      <c r="A118" s="33" t="s">
        <v>93</v>
      </c>
      <c r="B118" s="34" t="s">
        <v>29</v>
      </c>
      <c r="C118" s="34" t="s">
        <v>18</v>
      </c>
      <c r="D118" s="34" t="s">
        <v>88</v>
      </c>
      <c r="E118" s="35">
        <v>146.34</v>
      </c>
      <c r="F118" s="36">
        <v>45302</v>
      </c>
      <c r="G118" s="36">
        <v>45329</v>
      </c>
      <c r="H118" s="37" t="str">
        <f>IFERROR(VLOOKUP(Tabela1[[#This Row],[Tag]],TAGS!$J$1:$K$11,2,0),"")</f>
        <v>Não essencial</v>
      </c>
      <c r="I118" s="38" t="str">
        <f t="shared" si="1"/>
        <v>fevereiro</v>
      </c>
      <c r="J118" s="39" t="str">
        <f>IF(Tabela1[[#This Row],[Caixa]]="Receita","Recebido",IF(F118="","",IF(G118="","",IF(G118&lt;F118,"Pago atrasado",IF(Tabela1[[#This Row],[Data do Pagamento / Compra]]&gt;Tabela1[[#This Row],[Data de Compra]],"Pago","Pago")))))</f>
        <v>Pago</v>
      </c>
    </row>
    <row r="119" spans="1:10" ht="21" hidden="1" customHeight="1" x14ac:dyDescent="0.2">
      <c r="A119" s="33" t="s">
        <v>94</v>
      </c>
      <c r="B119" s="34" t="s">
        <v>29</v>
      </c>
      <c r="C119" s="34" t="s">
        <v>21</v>
      </c>
      <c r="D119" s="34" t="s">
        <v>88</v>
      </c>
      <c r="E119" s="35">
        <v>34.9</v>
      </c>
      <c r="F119" s="36">
        <v>45302</v>
      </c>
      <c r="G119" s="36">
        <v>45329</v>
      </c>
      <c r="H119" s="37" t="str">
        <f>IFERROR(VLOOKUP(Tabela1[[#This Row],[Tag]],TAGS!$J$1:$K$11,2,0),"")</f>
        <v>Não essencial</v>
      </c>
      <c r="I119" s="38" t="str">
        <f t="shared" si="1"/>
        <v>fevereiro</v>
      </c>
      <c r="J119" s="39" t="str">
        <f>IF(Tabela1[[#This Row],[Caixa]]="Receita","Recebido",IF(F119="","",IF(G119="","",IF(G119&lt;F119,"Pago atrasado",IF(Tabela1[[#This Row],[Data do Pagamento / Compra]]&gt;Tabela1[[#This Row],[Data de Compra]],"Pago","Pago")))))</f>
        <v>Pago</v>
      </c>
    </row>
    <row r="120" spans="1:10" ht="21" hidden="1" customHeight="1" x14ac:dyDescent="0.2">
      <c r="A120" s="33" t="s">
        <v>95</v>
      </c>
      <c r="B120" s="34" t="s">
        <v>29</v>
      </c>
      <c r="C120" s="34" t="s">
        <v>21</v>
      </c>
      <c r="D120" s="34" t="s">
        <v>88</v>
      </c>
      <c r="E120" s="35">
        <v>22.4</v>
      </c>
      <c r="F120" s="36">
        <v>45302</v>
      </c>
      <c r="G120" s="36">
        <v>45329</v>
      </c>
      <c r="H120" s="37" t="str">
        <f>IFERROR(VLOOKUP(Tabela1[[#This Row],[Tag]],TAGS!$J$1:$K$11,2,0),"")</f>
        <v>Não essencial</v>
      </c>
      <c r="I120" s="38" t="str">
        <f t="shared" si="1"/>
        <v>fevereiro</v>
      </c>
      <c r="J120" s="39" t="str">
        <f>IF(Tabela1[[#This Row],[Caixa]]="Receita","Recebido",IF(F120="","",IF(G120="","",IF(G120&lt;F120,"Pago atrasado",IF(Tabela1[[#This Row],[Data do Pagamento / Compra]]&gt;Tabela1[[#This Row],[Data de Compra]],"Pago","Pago")))))</f>
        <v>Pago</v>
      </c>
    </row>
    <row r="121" spans="1:10" ht="21" hidden="1" customHeight="1" x14ac:dyDescent="0.2">
      <c r="A121" s="33" t="s">
        <v>81</v>
      </c>
      <c r="B121" s="34" t="s">
        <v>29</v>
      </c>
      <c r="C121" s="34" t="s">
        <v>13</v>
      </c>
      <c r="D121" s="34" t="s">
        <v>88</v>
      </c>
      <c r="E121" s="35">
        <v>13.8</v>
      </c>
      <c r="F121" s="36">
        <v>45302</v>
      </c>
      <c r="G121" s="36">
        <v>45329</v>
      </c>
      <c r="H121" s="37" t="str">
        <f>IFERROR(VLOOKUP(Tabela1[[#This Row],[Tag]],TAGS!$J$1:$K$11,2,0),"")</f>
        <v>Essencial</v>
      </c>
      <c r="I121" s="38" t="str">
        <f t="shared" si="1"/>
        <v>fevereiro</v>
      </c>
      <c r="J121" s="39" t="str">
        <f>IF(Tabela1[[#This Row],[Caixa]]="Receita","Recebido",IF(F121="","",IF(G121="","",IF(G121&lt;F121,"Pago atrasado",IF(Tabela1[[#This Row],[Data do Pagamento / Compra]]&gt;Tabela1[[#This Row],[Data de Compra]],"Pago","Pago")))))</f>
        <v>Pago</v>
      </c>
    </row>
    <row r="122" spans="1:10" ht="21" hidden="1" customHeight="1" x14ac:dyDescent="0.2">
      <c r="A122" s="33" t="s">
        <v>81</v>
      </c>
      <c r="B122" s="34" t="s">
        <v>29</v>
      </c>
      <c r="C122" s="34" t="s">
        <v>13</v>
      </c>
      <c r="D122" s="34" t="s">
        <v>88</v>
      </c>
      <c r="E122" s="35">
        <v>10.4</v>
      </c>
      <c r="F122" s="36">
        <v>45302</v>
      </c>
      <c r="G122" s="36">
        <v>45329</v>
      </c>
      <c r="H122" s="37" t="str">
        <f>IFERROR(VLOOKUP(Tabela1[[#This Row],[Tag]],TAGS!$J$1:$K$11,2,0),"")</f>
        <v>Essencial</v>
      </c>
      <c r="I122" s="38" t="str">
        <f t="shared" si="1"/>
        <v>fevereiro</v>
      </c>
      <c r="J122" s="39" t="str">
        <f>IF(Tabela1[[#This Row],[Caixa]]="Receita","Recebido",IF(F122="","",IF(G122="","",IF(G122&lt;F122,"Pago atrasado",IF(Tabela1[[#This Row],[Data do Pagamento / Compra]]&gt;Tabela1[[#This Row],[Data de Compra]],"Pago","Pago")))))</f>
        <v>Pago</v>
      </c>
    </row>
    <row r="123" spans="1:10" ht="21" hidden="1" customHeight="1" x14ac:dyDescent="0.2">
      <c r="A123" s="33" t="s">
        <v>81</v>
      </c>
      <c r="B123" s="34" t="s">
        <v>29</v>
      </c>
      <c r="C123" s="34" t="s">
        <v>13</v>
      </c>
      <c r="D123" s="34" t="s">
        <v>88</v>
      </c>
      <c r="E123" s="35">
        <v>12</v>
      </c>
      <c r="F123" s="36">
        <v>45302</v>
      </c>
      <c r="G123" s="36">
        <v>45329</v>
      </c>
      <c r="H123" s="37" t="str">
        <f>IFERROR(VLOOKUP(Tabela1[[#This Row],[Tag]],TAGS!$J$1:$K$11,2,0),"")</f>
        <v>Essencial</v>
      </c>
      <c r="I123" s="38" t="str">
        <f t="shared" si="1"/>
        <v>fevereiro</v>
      </c>
      <c r="J123" s="39" t="str">
        <f>IF(Tabela1[[#This Row],[Caixa]]="Receita","Recebido",IF(F123="","",IF(G123="","",IF(G123&lt;F123,"Pago atrasado",IF(Tabela1[[#This Row],[Data do Pagamento / Compra]]&gt;Tabela1[[#This Row],[Data de Compra]],"Pago","Pago")))))</f>
        <v>Pago</v>
      </c>
    </row>
    <row r="124" spans="1:10" ht="21" hidden="1" customHeight="1" x14ac:dyDescent="0.2">
      <c r="A124" s="33" t="s">
        <v>81</v>
      </c>
      <c r="B124" s="34" t="s">
        <v>29</v>
      </c>
      <c r="C124" s="34" t="s">
        <v>13</v>
      </c>
      <c r="D124" s="34" t="s">
        <v>88</v>
      </c>
      <c r="E124" s="35">
        <v>11.8</v>
      </c>
      <c r="F124" s="36">
        <v>45302</v>
      </c>
      <c r="G124" s="36">
        <v>45329</v>
      </c>
      <c r="H124" s="37" t="str">
        <f>IFERROR(VLOOKUP(Tabela1[[#This Row],[Tag]],TAGS!$J$1:$K$11,2,0),"")</f>
        <v>Essencial</v>
      </c>
      <c r="I124" s="38" t="str">
        <f t="shared" si="1"/>
        <v>fevereiro</v>
      </c>
      <c r="J124" s="39" t="str">
        <f>IF(Tabela1[[#This Row],[Caixa]]="Receita","Recebido",IF(F124="","",IF(G124="","",IF(G124&lt;F124,"Pago atrasado",IF(Tabela1[[#This Row],[Data do Pagamento / Compra]]&gt;Tabela1[[#This Row],[Data de Compra]],"Pago","Pago")))))</f>
        <v>Pago</v>
      </c>
    </row>
    <row r="125" spans="1:10" ht="21" hidden="1" customHeight="1" x14ac:dyDescent="0.2">
      <c r="A125" s="33" t="s">
        <v>81</v>
      </c>
      <c r="B125" s="34" t="s">
        <v>29</v>
      </c>
      <c r="C125" s="34" t="s">
        <v>13</v>
      </c>
      <c r="D125" s="34" t="s">
        <v>88</v>
      </c>
      <c r="E125" s="35">
        <v>12.5</v>
      </c>
      <c r="F125" s="36">
        <v>45302</v>
      </c>
      <c r="G125" s="36">
        <v>45329</v>
      </c>
      <c r="H125" s="37" t="str">
        <f>IFERROR(VLOOKUP(Tabela1[[#This Row],[Tag]],TAGS!$J$1:$K$11,2,0),"")</f>
        <v>Essencial</v>
      </c>
      <c r="I125" s="38" t="str">
        <f t="shared" si="1"/>
        <v>fevereiro</v>
      </c>
      <c r="J125" s="39" t="str">
        <f>IF(Tabela1[[#This Row],[Caixa]]="Receita","Recebido",IF(F125="","",IF(G125="","",IF(G125&lt;F125,"Pago atrasado",IF(Tabela1[[#This Row],[Data do Pagamento / Compra]]&gt;Tabela1[[#This Row],[Data de Compra]],"Pago","Pago")))))</f>
        <v>Pago</v>
      </c>
    </row>
    <row r="126" spans="1:10" ht="21" hidden="1" customHeight="1" x14ac:dyDescent="0.2">
      <c r="A126" s="33" t="s">
        <v>81</v>
      </c>
      <c r="B126" s="34" t="s">
        <v>29</v>
      </c>
      <c r="C126" s="34" t="s">
        <v>13</v>
      </c>
      <c r="D126" s="34" t="s">
        <v>88</v>
      </c>
      <c r="E126" s="35">
        <v>17.760000000000002</v>
      </c>
      <c r="F126" s="36">
        <v>45302</v>
      </c>
      <c r="G126" s="36">
        <v>45329</v>
      </c>
      <c r="H126" s="37" t="str">
        <f>IFERROR(VLOOKUP(Tabela1[[#This Row],[Tag]],TAGS!$J$1:$K$11,2,0),"")</f>
        <v>Essencial</v>
      </c>
      <c r="I126" s="38" t="str">
        <f t="shared" si="1"/>
        <v>fevereiro</v>
      </c>
      <c r="J126" s="39" t="str">
        <f>IF(Tabela1[[#This Row],[Caixa]]="Receita","Recebido",IF(F126="","",IF(G126="","",IF(G126&lt;F126,"Pago atrasado",IF(Tabela1[[#This Row],[Data do Pagamento / Compra]]&gt;Tabela1[[#This Row],[Data de Compra]],"Pago","Pago")))))</f>
        <v>Pago</v>
      </c>
    </row>
    <row r="127" spans="1:10" ht="21" hidden="1" customHeight="1" x14ac:dyDescent="0.2">
      <c r="A127" s="33" t="s">
        <v>81</v>
      </c>
      <c r="B127" s="34" t="s">
        <v>29</v>
      </c>
      <c r="C127" s="34" t="s">
        <v>13</v>
      </c>
      <c r="D127" s="34" t="s">
        <v>88</v>
      </c>
      <c r="E127" s="35">
        <v>15.06</v>
      </c>
      <c r="F127" s="36">
        <v>45302</v>
      </c>
      <c r="G127" s="36">
        <v>45329</v>
      </c>
      <c r="H127" s="37" t="str">
        <f>IFERROR(VLOOKUP(Tabela1[[#This Row],[Tag]],TAGS!$J$1:$K$11,2,0),"")</f>
        <v>Essencial</v>
      </c>
      <c r="I127" s="38" t="str">
        <f t="shared" si="1"/>
        <v>fevereiro</v>
      </c>
      <c r="J127" s="39" t="str">
        <f>IF(Tabela1[[#This Row],[Caixa]]="Receita","Recebido",IF(F127="","",IF(G127="","",IF(G127&lt;F127,"Pago atrasado",IF(Tabela1[[#This Row],[Data do Pagamento / Compra]]&gt;Tabela1[[#This Row],[Data de Compra]],"Pago","Pago")))))</f>
        <v>Pago</v>
      </c>
    </row>
    <row r="128" spans="1:10" ht="21" hidden="1" customHeight="1" x14ac:dyDescent="0.2">
      <c r="A128" s="33" t="s">
        <v>81</v>
      </c>
      <c r="B128" s="34" t="s">
        <v>29</v>
      </c>
      <c r="C128" s="34" t="s">
        <v>13</v>
      </c>
      <c r="D128" s="34" t="s">
        <v>88</v>
      </c>
      <c r="E128" s="35">
        <v>19.12</v>
      </c>
      <c r="F128" s="36">
        <v>45302</v>
      </c>
      <c r="G128" s="36">
        <v>45329</v>
      </c>
      <c r="H128" s="37" t="str">
        <f>IFERROR(VLOOKUP(Tabela1[[#This Row],[Tag]],TAGS!$J$1:$K$11,2,0),"")</f>
        <v>Essencial</v>
      </c>
      <c r="I128" s="38" t="str">
        <f t="shared" si="1"/>
        <v>fevereiro</v>
      </c>
      <c r="J128" s="39" t="str">
        <f>IF(Tabela1[[#This Row],[Caixa]]="Receita","Recebido",IF(F128="","",IF(G128="","",IF(G128&lt;F128,"Pago atrasado",IF(Tabela1[[#This Row],[Data do Pagamento / Compra]]&gt;Tabela1[[#This Row],[Data de Compra]],"Pago","Pago")))))</f>
        <v>Pago</v>
      </c>
    </row>
    <row r="129" spans="1:10" ht="21" hidden="1" customHeight="1" x14ac:dyDescent="0.2">
      <c r="A129" s="33" t="s">
        <v>81</v>
      </c>
      <c r="B129" s="34" t="s">
        <v>29</v>
      </c>
      <c r="C129" s="34" t="s">
        <v>13</v>
      </c>
      <c r="D129" s="34" t="s">
        <v>88</v>
      </c>
      <c r="E129" s="35">
        <v>19.41</v>
      </c>
      <c r="F129" s="36">
        <v>45302</v>
      </c>
      <c r="G129" s="36">
        <v>45329</v>
      </c>
      <c r="H129" s="37" t="str">
        <f>IFERROR(VLOOKUP(Tabela1[[#This Row],[Tag]],TAGS!$J$1:$K$11,2,0),"")</f>
        <v>Essencial</v>
      </c>
      <c r="I129" s="38" t="str">
        <f t="shared" si="1"/>
        <v>fevereiro</v>
      </c>
      <c r="J129" s="39" t="str">
        <f>IF(Tabela1[[#This Row],[Caixa]]="Receita","Recebido",IF(F129="","",IF(G129="","",IF(G129&lt;F129,"Pago atrasado",IF(Tabela1[[#This Row],[Data do Pagamento / Compra]]&gt;Tabela1[[#This Row],[Data de Compra]],"Pago","Pago")))))</f>
        <v>Pago</v>
      </c>
    </row>
    <row r="130" spans="1:10" ht="21" hidden="1" customHeight="1" x14ac:dyDescent="0.2">
      <c r="A130" s="33" t="s">
        <v>81</v>
      </c>
      <c r="B130" s="34" t="s">
        <v>29</v>
      </c>
      <c r="C130" s="34" t="s">
        <v>13</v>
      </c>
      <c r="D130" s="34" t="s">
        <v>88</v>
      </c>
      <c r="E130" s="35">
        <v>12.3</v>
      </c>
      <c r="F130" s="36">
        <v>45302</v>
      </c>
      <c r="G130" s="36">
        <v>45329</v>
      </c>
      <c r="H130" s="37" t="str">
        <f>IFERROR(VLOOKUP(Tabela1[[#This Row],[Tag]],TAGS!$J$1:$K$11,2,0),"")</f>
        <v>Essencial</v>
      </c>
      <c r="I130" s="38" t="str">
        <f t="shared" si="1"/>
        <v>fevereiro</v>
      </c>
      <c r="J130" s="39" t="str">
        <f>IF(Tabela1[[#This Row],[Caixa]]="Receita","Recebido",IF(F130="","",IF(G130="","",IF(G130&lt;F130,"Pago atrasado",IF(Tabela1[[#This Row],[Data do Pagamento / Compra]]&gt;Tabela1[[#This Row],[Data de Compra]],"Pago","Pago")))))</f>
        <v>Pago</v>
      </c>
    </row>
    <row r="131" spans="1:10" ht="21" hidden="1" customHeight="1" x14ac:dyDescent="0.2">
      <c r="A131" s="33" t="s">
        <v>81</v>
      </c>
      <c r="B131" s="34" t="s">
        <v>29</v>
      </c>
      <c r="C131" s="34" t="s">
        <v>13</v>
      </c>
      <c r="D131" s="34" t="s">
        <v>88</v>
      </c>
      <c r="E131" s="35">
        <v>6.9</v>
      </c>
      <c r="F131" s="36">
        <v>45302</v>
      </c>
      <c r="G131" s="36">
        <v>45329</v>
      </c>
      <c r="H131" s="37" t="str">
        <f>IFERROR(VLOOKUP(Tabela1[[#This Row],[Tag]],TAGS!$J$1:$K$11,2,0),"")</f>
        <v>Essencial</v>
      </c>
      <c r="I131" s="38" t="str">
        <f t="shared" si="1"/>
        <v>fevereiro</v>
      </c>
      <c r="J131" s="39" t="str">
        <f>IF(Tabela1[[#This Row],[Caixa]]="Receita","Recebido",IF(F131="","",IF(G131="","",IF(G131&lt;F131,"Pago atrasado",IF(Tabela1[[#This Row],[Data do Pagamento / Compra]]&gt;Tabela1[[#This Row],[Data de Compra]],"Pago","Pago")))))</f>
        <v>Pago</v>
      </c>
    </row>
    <row r="132" spans="1:10" ht="21" hidden="1" customHeight="1" x14ac:dyDescent="0.2">
      <c r="A132" s="33" t="s">
        <v>81</v>
      </c>
      <c r="B132" s="34" t="s">
        <v>29</v>
      </c>
      <c r="C132" s="34" t="s">
        <v>13</v>
      </c>
      <c r="D132" s="34" t="s">
        <v>88</v>
      </c>
      <c r="E132" s="35">
        <v>19.37</v>
      </c>
      <c r="F132" s="36">
        <v>45302</v>
      </c>
      <c r="G132" s="36">
        <v>45329</v>
      </c>
      <c r="H132" s="37" t="str">
        <f>IFERROR(VLOOKUP(Tabela1[[#This Row],[Tag]],TAGS!$J$1:$K$11,2,0),"")</f>
        <v>Essencial</v>
      </c>
      <c r="I132" s="38" t="str">
        <f t="shared" ref="I132:I195" si="2">IF(G132="","",TEXT(G132,"mmmm"))</f>
        <v>fevereiro</v>
      </c>
      <c r="J132" s="39" t="str">
        <f>IF(Tabela1[[#This Row],[Caixa]]="Receita","Recebido",IF(F132="","",IF(G132="","",IF(G132&lt;F132,"Pago atrasado",IF(Tabela1[[#This Row],[Data do Pagamento / Compra]]&gt;Tabela1[[#This Row],[Data de Compra]],"Pago","Pago")))))</f>
        <v>Pago</v>
      </c>
    </row>
    <row r="133" spans="1:10" ht="21" hidden="1" customHeight="1" x14ac:dyDescent="0.2">
      <c r="A133" s="33" t="s">
        <v>81</v>
      </c>
      <c r="B133" s="34" t="s">
        <v>29</v>
      </c>
      <c r="C133" s="34" t="s">
        <v>13</v>
      </c>
      <c r="D133" s="34" t="s">
        <v>88</v>
      </c>
      <c r="E133" s="35">
        <v>8.6</v>
      </c>
      <c r="F133" s="36">
        <v>45302</v>
      </c>
      <c r="G133" s="36">
        <v>45329</v>
      </c>
      <c r="H133" s="37" t="str">
        <f>IFERROR(VLOOKUP(Tabela1[[#This Row],[Tag]],TAGS!$J$1:$K$11,2,0),"")</f>
        <v>Essencial</v>
      </c>
      <c r="I133" s="38" t="str">
        <f t="shared" si="2"/>
        <v>fevereiro</v>
      </c>
      <c r="J133" s="39" t="str">
        <f>IF(Tabela1[[#This Row],[Caixa]]="Receita","Recebido",IF(F133="","",IF(G133="","",IF(G133&lt;F133,"Pago atrasado",IF(Tabela1[[#This Row],[Data do Pagamento / Compra]]&gt;Tabela1[[#This Row],[Data de Compra]],"Pago","Pago")))))</f>
        <v>Pago</v>
      </c>
    </row>
    <row r="134" spans="1:10" ht="21" hidden="1" customHeight="1" x14ac:dyDescent="0.2">
      <c r="A134" s="33" t="s">
        <v>81</v>
      </c>
      <c r="B134" s="34" t="s">
        <v>29</v>
      </c>
      <c r="C134" s="34" t="s">
        <v>13</v>
      </c>
      <c r="D134" s="34" t="s">
        <v>88</v>
      </c>
      <c r="E134" s="35">
        <v>10.4</v>
      </c>
      <c r="F134" s="36">
        <v>45302</v>
      </c>
      <c r="G134" s="36">
        <v>45329</v>
      </c>
      <c r="H134" s="37" t="str">
        <f>IFERROR(VLOOKUP(Tabela1[[#This Row],[Tag]],TAGS!$J$1:$K$11,2,0),"")</f>
        <v>Essencial</v>
      </c>
      <c r="I134" s="38" t="str">
        <f t="shared" si="2"/>
        <v>fevereiro</v>
      </c>
      <c r="J134" s="39" t="str">
        <f>IF(Tabela1[[#This Row],[Caixa]]="Receita","Recebido",IF(F134="","",IF(G134="","",IF(G134&lt;F134,"Pago atrasado",IF(Tabela1[[#This Row],[Data do Pagamento / Compra]]&gt;Tabela1[[#This Row],[Data de Compra]],"Pago","Pago")))))</f>
        <v>Pago</v>
      </c>
    </row>
    <row r="135" spans="1:10" ht="21" hidden="1" customHeight="1" x14ac:dyDescent="0.2">
      <c r="A135" s="33" t="s">
        <v>81</v>
      </c>
      <c r="B135" s="34" t="s">
        <v>29</v>
      </c>
      <c r="C135" s="34" t="s">
        <v>13</v>
      </c>
      <c r="D135" s="34" t="s">
        <v>88</v>
      </c>
      <c r="E135" s="35">
        <v>19.8</v>
      </c>
      <c r="F135" s="36">
        <v>45302</v>
      </c>
      <c r="G135" s="36">
        <v>45329</v>
      </c>
      <c r="H135" s="37" t="str">
        <f>IFERROR(VLOOKUP(Tabela1[[#This Row],[Tag]],TAGS!$J$1:$K$11,2,0),"")</f>
        <v>Essencial</v>
      </c>
      <c r="I135" s="38" t="str">
        <f t="shared" si="2"/>
        <v>fevereiro</v>
      </c>
      <c r="J135" s="39" t="str">
        <f>IF(Tabela1[[#This Row],[Caixa]]="Receita","Recebido",IF(F135="","",IF(G135="","",IF(G135&lt;F135,"Pago atrasado",IF(Tabela1[[#This Row],[Data do Pagamento / Compra]]&gt;Tabela1[[#This Row],[Data de Compra]],"Pago","Pago")))))</f>
        <v>Pago</v>
      </c>
    </row>
    <row r="136" spans="1:10" ht="21" hidden="1" customHeight="1" x14ac:dyDescent="0.2">
      <c r="A136" s="33" t="s">
        <v>96</v>
      </c>
      <c r="B136" s="34" t="s">
        <v>28</v>
      </c>
      <c r="C136" s="34" t="s">
        <v>31</v>
      </c>
      <c r="D136" s="34" t="s">
        <v>33</v>
      </c>
      <c r="E136" s="35">
        <v>2033.39</v>
      </c>
      <c r="F136" s="36">
        <v>45328</v>
      </c>
      <c r="G136" s="36">
        <v>45329</v>
      </c>
      <c r="H136" s="37" t="str">
        <f>IFERROR(VLOOKUP(Tabela1[[#This Row],[Tag]],TAGS!$J$1:$K$11,2,0),"")</f>
        <v>Receita</v>
      </c>
      <c r="I136" s="38" t="str">
        <f t="shared" si="2"/>
        <v>fevereiro</v>
      </c>
      <c r="J136" s="39" t="str">
        <f>IF(Tabela1[[#This Row],[Caixa]]="Receita","Recebido",IF(F136="","",IF(G136="","",IF(G136&lt;F136,"Pago atrasado",IF(Tabela1[[#This Row],[Data do Pagamento / Compra]]&gt;Tabela1[[#This Row],[Data de Compra]],"Pago","Pago")))))</f>
        <v>Recebido</v>
      </c>
    </row>
    <row r="137" spans="1:10" ht="21" hidden="1" customHeight="1" x14ac:dyDescent="0.2">
      <c r="A137" s="33" t="s">
        <v>98</v>
      </c>
      <c r="B137" s="34" t="s">
        <v>29</v>
      </c>
      <c r="C137" s="34" t="s">
        <v>14</v>
      </c>
      <c r="D137" s="34" t="s">
        <v>15</v>
      </c>
      <c r="E137" s="35">
        <v>10</v>
      </c>
      <c r="F137" s="36">
        <v>45329</v>
      </c>
      <c r="G137" s="36">
        <v>45329</v>
      </c>
      <c r="H137" s="37" t="str">
        <f>IFERROR(VLOOKUP(Tabela1[[#This Row],[Tag]],TAGS!$J$1:$K$11,2,0),"")</f>
        <v>Não essencial</v>
      </c>
      <c r="I137" s="38" t="str">
        <f t="shared" si="2"/>
        <v>fevereiro</v>
      </c>
      <c r="J137" s="39" t="str">
        <f>IF(Tabela1[[#This Row],[Caixa]]="Receita","Recebido",IF(F137="","",IF(G137="","",IF(G137&lt;F137,"Pago atrasado",IF(Tabela1[[#This Row],[Data do Pagamento / Compra]]&gt;Tabela1[[#This Row],[Data de Compra]],"Pago","Pago")))))</f>
        <v>Pago</v>
      </c>
    </row>
    <row r="138" spans="1:10" ht="21" hidden="1" customHeight="1" x14ac:dyDescent="0.2">
      <c r="A138" s="33" t="s">
        <v>55</v>
      </c>
      <c r="B138" s="34" t="s">
        <v>29</v>
      </c>
      <c r="C138" s="34" t="s">
        <v>14</v>
      </c>
      <c r="D138" s="34" t="s">
        <v>15</v>
      </c>
      <c r="E138" s="35">
        <v>6.26</v>
      </c>
      <c r="F138" s="36">
        <v>45330</v>
      </c>
      <c r="G138" s="36">
        <v>45330</v>
      </c>
      <c r="H138" s="37" t="str">
        <f>IFERROR(VLOOKUP(Tabela1[[#This Row],[Tag]],TAGS!$J$1:$K$11,2,0),"")</f>
        <v>Não essencial</v>
      </c>
      <c r="I138" s="38" t="str">
        <f t="shared" si="2"/>
        <v>fevereiro</v>
      </c>
      <c r="J138" s="39" t="str">
        <f>IF(Tabela1[[#This Row],[Caixa]]="Receita","Recebido",IF(F138="","",IF(G138="","",IF(G138&lt;F138,"Pago atrasado",IF(Tabela1[[#This Row],[Data do Pagamento / Compra]]&gt;Tabela1[[#This Row],[Data de Compra]],"Pago","Pago")))))</f>
        <v>Pago</v>
      </c>
    </row>
    <row r="139" spans="1:10" ht="21" hidden="1" customHeight="1" x14ac:dyDescent="0.2">
      <c r="A139" s="33" t="s">
        <v>81</v>
      </c>
      <c r="B139" s="34" t="s">
        <v>29</v>
      </c>
      <c r="C139" s="34" t="s">
        <v>13</v>
      </c>
      <c r="D139" s="34" t="s">
        <v>88</v>
      </c>
      <c r="E139" s="35">
        <v>16.5</v>
      </c>
      <c r="F139" s="36">
        <v>45330</v>
      </c>
      <c r="G139" s="36">
        <v>45330</v>
      </c>
      <c r="H139" s="37" t="str">
        <f>IFERROR(VLOOKUP(Tabela1[[#This Row],[Tag]],TAGS!$J$1:$K$11,2,0),"")</f>
        <v>Essencial</v>
      </c>
      <c r="I139" s="38" t="str">
        <f t="shared" si="2"/>
        <v>fevereiro</v>
      </c>
      <c r="J139" s="39" t="str">
        <f>IF(Tabela1[[#This Row],[Caixa]]="Receita","Recebido",IF(F139="","",IF(G139="","",IF(G139&lt;F139,"Pago atrasado",IF(Tabela1[[#This Row],[Data do Pagamento / Compra]]&gt;Tabela1[[#This Row],[Data de Compra]],"Pago","Pago")))))</f>
        <v>Pago</v>
      </c>
    </row>
    <row r="140" spans="1:10" ht="21" hidden="1" customHeight="1" x14ac:dyDescent="0.2">
      <c r="A140" s="33" t="s">
        <v>99</v>
      </c>
      <c r="B140" s="34" t="s">
        <v>29</v>
      </c>
      <c r="C140" s="34" t="s">
        <v>20</v>
      </c>
      <c r="D140" s="34" t="s">
        <v>15</v>
      </c>
      <c r="E140" s="35">
        <v>450</v>
      </c>
      <c r="F140" s="36">
        <v>45330</v>
      </c>
      <c r="G140" s="36">
        <v>45330</v>
      </c>
      <c r="H140" s="37" t="str">
        <f>IFERROR(VLOOKUP(Tabela1[[#This Row],[Tag]],TAGS!$J$1:$K$11,2,0),"")</f>
        <v>Essencial</v>
      </c>
      <c r="I140" s="38" t="str">
        <f t="shared" si="2"/>
        <v>fevereiro</v>
      </c>
      <c r="J140" s="39" t="str">
        <f>IF(Tabela1[[#This Row],[Caixa]]="Receita","Recebido",IF(F140="","",IF(G140="","",IF(G140&lt;F140,"Pago atrasado",IF(Tabela1[[#This Row],[Data do Pagamento / Compra]]&gt;Tabela1[[#This Row],[Data de Compra]],"Pago","Pago")))))</f>
        <v>Pago</v>
      </c>
    </row>
    <row r="141" spans="1:10" ht="21" hidden="1" customHeight="1" x14ac:dyDescent="0.2">
      <c r="A141" s="33" t="s">
        <v>2</v>
      </c>
      <c r="B141" s="34" t="s">
        <v>29</v>
      </c>
      <c r="C141" s="34" t="s">
        <v>11</v>
      </c>
      <c r="D141" s="34" t="s">
        <v>5</v>
      </c>
      <c r="E141" s="35">
        <v>950</v>
      </c>
      <c r="F141" s="36">
        <v>45330</v>
      </c>
      <c r="G141" s="36">
        <v>45330</v>
      </c>
      <c r="H141" s="37" t="str">
        <f>IFERROR(VLOOKUP(Tabela1[[#This Row],[Tag]],TAGS!$J$1:$K$11,2,0),"")</f>
        <v>Essencial</v>
      </c>
      <c r="I141" s="38" t="str">
        <f t="shared" si="2"/>
        <v>fevereiro</v>
      </c>
      <c r="J141" s="39" t="str">
        <f>IF(Tabela1[[#This Row],[Caixa]]="Receita","Recebido",IF(F141="","",IF(G141="","",IF(G141&lt;F141,"Pago atrasado",IF(Tabela1[[#This Row],[Data do Pagamento / Compra]]&gt;Tabela1[[#This Row],[Data de Compra]],"Pago","Pago")))))</f>
        <v>Pago</v>
      </c>
    </row>
    <row r="142" spans="1:10" ht="21" hidden="1" customHeight="1" x14ac:dyDescent="0.2">
      <c r="A142" s="33" t="s">
        <v>100</v>
      </c>
      <c r="B142" s="34" t="s">
        <v>29</v>
      </c>
      <c r="C142" s="34" t="s">
        <v>21</v>
      </c>
      <c r="D142" s="34" t="s">
        <v>5</v>
      </c>
      <c r="E142" s="35">
        <v>16.36</v>
      </c>
      <c r="F142" s="36">
        <v>45330</v>
      </c>
      <c r="G142" s="36">
        <v>45330</v>
      </c>
      <c r="H142" s="37" t="str">
        <f>IFERROR(VLOOKUP(Tabela1[[#This Row],[Tag]],TAGS!$J$1:$K$11,2,0),"")</f>
        <v>Não essencial</v>
      </c>
      <c r="I142" s="38" t="str">
        <f t="shared" si="2"/>
        <v>fevereiro</v>
      </c>
      <c r="J142" s="39" t="str">
        <f>IF(Tabela1[[#This Row],[Caixa]]="Receita","Recebido",IF(F142="","",IF(G142="","",IF(G142&lt;F142,"Pago atrasado",IF(Tabela1[[#This Row],[Data do Pagamento / Compra]]&gt;Tabela1[[#This Row],[Data de Compra]],"Pago","Pago")))))</f>
        <v>Pago</v>
      </c>
    </row>
    <row r="143" spans="1:10" ht="21" hidden="1" customHeight="1" x14ac:dyDescent="0.2">
      <c r="A143" s="33" t="s">
        <v>55</v>
      </c>
      <c r="B143" s="34" t="s">
        <v>29</v>
      </c>
      <c r="C143" s="34" t="s">
        <v>14</v>
      </c>
      <c r="D143" s="34" t="s">
        <v>15</v>
      </c>
      <c r="E143" s="35">
        <v>17.96</v>
      </c>
      <c r="F143" s="36">
        <v>45331</v>
      </c>
      <c r="G143" s="36">
        <v>45331</v>
      </c>
      <c r="H143" s="37" t="str">
        <f>IFERROR(VLOOKUP(Tabela1[[#This Row],[Tag]],TAGS!$J$1:$K$11,2,0),"")</f>
        <v>Não essencial</v>
      </c>
      <c r="I143" s="38" t="str">
        <f t="shared" si="2"/>
        <v>fevereiro</v>
      </c>
      <c r="J143" s="39" t="str">
        <f>IF(Tabela1[[#This Row],[Caixa]]="Receita","Recebido",IF(F143="","",IF(G143="","",IF(G143&lt;F143,"Pago atrasado",IF(Tabela1[[#This Row],[Data do Pagamento / Compra]]&gt;Tabela1[[#This Row],[Data de Compra]],"Pago","Pago")))))</f>
        <v>Pago</v>
      </c>
    </row>
    <row r="144" spans="1:10" ht="21" hidden="1" customHeight="1" x14ac:dyDescent="0.2">
      <c r="A144" s="33" t="s">
        <v>81</v>
      </c>
      <c r="B144" s="34" t="s">
        <v>29</v>
      </c>
      <c r="C144" s="34" t="s">
        <v>13</v>
      </c>
      <c r="D144" s="34" t="s">
        <v>33</v>
      </c>
      <c r="E144" s="35">
        <v>19.12</v>
      </c>
      <c r="F144" s="36">
        <v>45331</v>
      </c>
      <c r="G144" s="36">
        <v>45331</v>
      </c>
      <c r="H144" s="37" t="str">
        <f>IFERROR(VLOOKUP(Tabela1[[#This Row],[Tag]],TAGS!$J$1:$K$11,2,0),"")</f>
        <v>Essencial</v>
      </c>
      <c r="I144" s="38" t="str">
        <f t="shared" si="2"/>
        <v>fevereiro</v>
      </c>
      <c r="J144" s="39" t="str">
        <f>IF(Tabela1[[#This Row],[Caixa]]="Receita","Recebido",IF(F144="","",IF(G144="","",IF(G144&lt;F144,"Pago atrasado",IF(Tabela1[[#This Row],[Data do Pagamento / Compra]]&gt;Tabela1[[#This Row],[Data de Compra]],"Pago","Pago")))))</f>
        <v>Pago</v>
      </c>
    </row>
    <row r="145" spans="1:10" ht="21" hidden="1" customHeight="1" x14ac:dyDescent="0.2">
      <c r="A145" s="33" t="s">
        <v>48</v>
      </c>
      <c r="B145" s="34" t="s">
        <v>29</v>
      </c>
      <c r="C145" s="34" t="s">
        <v>12</v>
      </c>
      <c r="D145" s="34" t="s">
        <v>15</v>
      </c>
      <c r="E145" s="35">
        <v>116.86</v>
      </c>
      <c r="F145" s="36">
        <v>45332</v>
      </c>
      <c r="G145" s="36">
        <v>45332</v>
      </c>
      <c r="H145" s="37" t="str">
        <f>IFERROR(VLOOKUP(Tabela1[[#This Row],[Tag]],TAGS!$J$1:$K$11,2,0),"")</f>
        <v>Essencial</v>
      </c>
      <c r="I145" s="38" t="str">
        <f t="shared" si="2"/>
        <v>fevereiro</v>
      </c>
      <c r="J145" s="39" t="str">
        <f>IF(Tabela1[[#This Row],[Caixa]]="Receita","Recebido",IF(F145="","",IF(G145="","",IF(G145&lt;F145,"Pago atrasado",IF(Tabela1[[#This Row],[Data do Pagamento / Compra]]&gt;Tabela1[[#This Row],[Data de Compra]],"Pago","Pago")))))</f>
        <v>Pago</v>
      </c>
    </row>
    <row r="146" spans="1:10" ht="21" hidden="1" customHeight="1" x14ac:dyDescent="0.2">
      <c r="A146" s="33" t="s">
        <v>101</v>
      </c>
      <c r="B146" s="34" t="s">
        <v>29</v>
      </c>
      <c r="C146" s="34" t="s">
        <v>21</v>
      </c>
      <c r="D146" s="34" t="s">
        <v>15</v>
      </c>
      <c r="E146" s="35">
        <v>15</v>
      </c>
      <c r="F146" s="36">
        <v>45332</v>
      </c>
      <c r="G146" s="36">
        <v>45332</v>
      </c>
      <c r="H146" s="37" t="str">
        <f>IFERROR(VLOOKUP(Tabela1[[#This Row],[Tag]],TAGS!$J$1:$K$11,2,0),"")</f>
        <v>Não essencial</v>
      </c>
      <c r="I146" s="38" t="str">
        <f t="shared" si="2"/>
        <v>fevereiro</v>
      </c>
      <c r="J146" s="39" t="str">
        <f>IF(Tabela1[[#This Row],[Caixa]]="Receita","Recebido",IF(F146="","",IF(G146="","",IF(G146&lt;F146,"Pago atrasado",IF(Tabela1[[#This Row],[Data do Pagamento / Compra]]&gt;Tabela1[[#This Row],[Data de Compra]],"Pago","Pago")))))</f>
        <v>Pago</v>
      </c>
    </row>
    <row r="147" spans="1:10" ht="21" hidden="1" customHeight="1" x14ac:dyDescent="0.2">
      <c r="A147" s="33" t="s">
        <v>7</v>
      </c>
      <c r="B147" s="34" t="s">
        <v>29</v>
      </c>
      <c r="C147" s="34" t="s">
        <v>11</v>
      </c>
      <c r="D147" s="34" t="s">
        <v>15</v>
      </c>
      <c r="E147" s="35">
        <v>130</v>
      </c>
      <c r="F147" s="36">
        <v>45330</v>
      </c>
      <c r="G147" s="36">
        <v>45330</v>
      </c>
      <c r="H147" s="37" t="str">
        <f>IFERROR(VLOOKUP(Tabela1[[#This Row],[Tag]],TAGS!$J$1:$K$11,2,0),"")</f>
        <v>Essencial</v>
      </c>
      <c r="I147" s="38" t="str">
        <f t="shared" si="2"/>
        <v>fevereiro</v>
      </c>
      <c r="J147" s="39" t="str">
        <f>IF(Tabela1[[#This Row],[Caixa]]="Receita","Recebido",IF(F147="","",IF(G147="","",IF(G147&lt;F147,"Pago atrasado",IF(Tabela1[[#This Row],[Data do Pagamento / Compra]]&gt;Tabela1[[#This Row],[Data de Compra]],"Pago","Pago")))))</f>
        <v>Pago</v>
      </c>
    </row>
    <row r="148" spans="1:10" ht="21" hidden="1" customHeight="1" x14ac:dyDescent="0.2">
      <c r="A148" s="33" t="s">
        <v>4</v>
      </c>
      <c r="B148" s="34" t="s">
        <v>29</v>
      </c>
      <c r="C148" s="34" t="s">
        <v>11</v>
      </c>
      <c r="D148" s="34" t="s">
        <v>15</v>
      </c>
      <c r="E148" s="35">
        <v>242</v>
      </c>
      <c r="F148" s="36">
        <v>45330</v>
      </c>
      <c r="G148" s="36">
        <v>45330</v>
      </c>
      <c r="H148" s="37" t="str">
        <f>IFERROR(VLOOKUP(Tabela1[[#This Row],[Tag]],TAGS!$J$1:$K$11,2,0),"")</f>
        <v>Essencial</v>
      </c>
      <c r="I148" s="38" t="str">
        <f t="shared" si="2"/>
        <v>fevereiro</v>
      </c>
      <c r="J148" s="39" t="str">
        <f>IF(Tabela1[[#This Row],[Caixa]]="Receita","Recebido",IF(F148="","",IF(G148="","",IF(G148&lt;F148,"Pago atrasado",IF(Tabela1[[#This Row],[Data do Pagamento / Compra]]&gt;Tabela1[[#This Row],[Data de Compra]],"Pago","Pago")))))</f>
        <v>Pago</v>
      </c>
    </row>
    <row r="149" spans="1:10" ht="21" hidden="1" customHeight="1" x14ac:dyDescent="0.2">
      <c r="A149" s="33" t="s">
        <v>8</v>
      </c>
      <c r="B149" s="34" t="s">
        <v>29</v>
      </c>
      <c r="C149" s="34" t="s">
        <v>11</v>
      </c>
      <c r="D149" s="34" t="s">
        <v>15</v>
      </c>
      <c r="E149" s="35">
        <v>112</v>
      </c>
      <c r="F149" s="36">
        <v>45330</v>
      </c>
      <c r="G149" s="36">
        <v>45330</v>
      </c>
      <c r="H149" s="37" t="str">
        <f>IFERROR(VLOOKUP(Tabela1[[#This Row],[Tag]],TAGS!$J$1:$K$11,2,0),"")</f>
        <v>Essencial</v>
      </c>
      <c r="I149" s="38" t="str">
        <f t="shared" si="2"/>
        <v>fevereiro</v>
      </c>
      <c r="J149" s="39" t="str">
        <f>IF(Tabela1[[#This Row],[Caixa]]="Receita","Recebido",IF(F149="","",IF(G149="","",IF(G149&lt;F149,"Pago atrasado",IF(Tabela1[[#This Row],[Data do Pagamento / Compra]]&gt;Tabela1[[#This Row],[Data de Compra]],"Pago","Pago")))))</f>
        <v>Pago</v>
      </c>
    </row>
    <row r="150" spans="1:10" ht="21" hidden="1" customHeight="1" x14ac:dyDescent="0.2">
      <c r="A150" s="33" t="s">
        <v>119</v>
      </c>
      <c r="B150" s="34" t="s">
        <v>41</v>
      </c>
      <c r="C150" s="34" t="s">
        <v>41</v>
      </c>
      <c r="D150" s="34" t="s">
        <v>15</v>
      </c>
      <c r="E150" s="35">
        <v>500</v>
      </c>
      <c r="F150" s="36">
        <v>45330</v>
      </c>
      <c r="G150" s="36">
        <v>45330</v>
      </c>
      <c r="H150" s="37" t="str">
        <f>IFERROR(VLOOKUP(Tabela1[[#This Row],[Tag]],TAGS!$J$1:$K$11,2,0),"")</f>
        <v>Investimento</v>
      </c>
      <c r="I150" s="38" t="str">
        <f t="shared" si="2"/>
        <v>fevereiro</v>
      </c>
      <c r="J150" s="39" t="str">
        <f>IF(Tabela1[[#This Row],[Caixa]]="Receita","Recebido",IF(F150="","",IF(G150="","",IF(G150&lt;F150,"Pago atrasado",IF(Tabela1[[#This Row],[Data do Pagamento / Compra]]&gt;Tabela1[[#This Row],[Data de Compra]],"Pago","Pago")))))</f>
        <v>Pago</v>
      </c>
    </row>
    <row r="151" spans="1:10" ht="21" hidden="1" customHeight="1" x14ac:dyDescent="0.2">
      <c r="A151" s="33" t="s">
        <v>102</v>
      </c>
      <c r="B151" s="34" t="s">
        <v>29</v>
      </c>
      <c r="C151" s="34" t="s">
        <v>14</v>
      </c>
      <c r="D151" s="34" t="s">
        <v>15</v>
      </c>
      <c r="E151" s="35">
        <v>12</v>
      </c>
      <c r="F151" s="36">
        <v>45331</v>
      </c>
      <c r="G151" s="36">
        <v>45331</v>
      </c>
      <c r="H151" s="37" t="str">
        <f>IFERROR(VLOOKUP(Tabela1[[#This Row],[Tag]],TAGS!$J$1:$K$11,2,0),"")</f>
        <v>Não essencial</v>
      </c>
      <c r="I151" s="38" t="str">
        <f t="shared" si="2"/>
        <v>fevereiro</v>
      </c>
      <c r="J151" s="39" t="str">
        <f>IF(Tabela1[[#This Row],[Caixa]]="Receita","Recebido",IF(F151="","",IF(G151="","",IF(G151&lt;F151,"Pago atrasado",IF(Tabela1[[#This Row],[Data do Pagamento / Compra]]&gt;Tabela1[[#This Row],[Data de Compra]],"Pago","Pago")))))</f>
        <v>Pago</v>
      </c>
    </row>
    <row r="152" spans="1:10" ht="21" hidden="1" customHeight="1" x14ac:dyDescent="0.2">
      <c r="A152" s="33" t="s">
        <v>103</v>
      </c>
      <c r="B152" s="34" t="s">
        <v>29</v>
      </c>
      <c r="C152" s="34" t="s">
        <v>14</v>
      </c>
      <c r="D152" s="34" t="s">
        <v>89</v>
      </c>
      <c r="E152" s="35">
        <v>59.9</v>
      </c>
      <c r="F152" s="36">
        <v>45332</v>
      </c>
      <c r="G152" s="36">
        <v>45361</v>
      </c>
      <c r="H152" s="37" t="str">
        <f>IFERROR(VLOOKUP(Tabela1[[#This Row],[Tag]],TAGS!$J$1:$K$11,2,0),"")</f>
        <v>Não essencial</v>
      </c>
      <c r="I152" s="38" t="str">
        <f t="shared" si="2"/>
        <v>março</v>
      </c>
      <c r="J152" s="39" t="str">
        <f>IF(Tabela1[[#This Row],[Caixa]]="Receita","Recebido",IF(F152="","",IF(G152="","",IF(G152&lt;F152,"Pago atrasado",IF(Tabela1[[#This Row],[Data do Pagamento / Compra]]&gt;Tabela1[[#This Row],[Data de Compra]],"Pago","Pago")))))</f>
        <v>Pago</v>
      </c>
    </row>
    <row r="153" spans="1:10" ht="21" hidden="1" customHeight="1" x14ac:dyDescent="0.2">
      <c r="A153" s="33" t="s">
        <v>104</v>
      </c>
      <c r="B153" s="34" t="s">
        <v>29</v>
      </c>
      <c r="C153" s="34" t="s">
        <v>12</v>
      </c>
      <c r="D153" s="34" t="s">
        <v>89</v>
      </c>
      <c r="E153" s="35">
        <v>17.8</v>
      </c>
      <c r="F153" s="36">
        <v>45332</v>
      </c>
      <c r="G153" s="36">
        <v>45361</v>
      </c>
      <c r="H153" s="37" t="str">
        <f>IFERROR(VLOOKUP(Tabela1[[#This Row],[Tag]],TAGS!$J$1:$K$11,2,0),"")</f>
        <v>Essencial</v>
      </c>
      <c r="I153" s="38" t="str">
        <f t="shared" si="2"/>
        <v>março</v>
      </c>
      <c r="J153" s="39" t="str">
        <f>IF(Tabela1[[#This Row],[Caixa]]="Receita","Recebido",IF(F153="","",IF(G153="","",IF(G153&lt;F153,"Pago atrasado",IF(Tabela1[[#This Row],[Data do Pagamento / Compra]]&gt;Tabela1[[#This Row],[Data de Compra]],"Pago","Pago")))))</f>
        <v>Pago</v>
      </c>
    </row>
    <row r="154" spans="1:10" ht="21" hidden="1" customHeight="1" x14ac:dyDescent="0.2">
      <c r="A154" s="33" t="s">
        <v>105</v>
      </c>
      <c r="B154" s="34" t="s">
        <v>29</v>
      </c>
      <c r="C154" s="34" t="s">
        <v>21</v>
      </c>
      <c r="D154" s="34" t="s">
        <v>88</v>
      </c>
      <c r="E154" s="35">
        <v>120.89</v>
      </c>
      <c r="F154" s="36">
        <v>45332</v>
      </c>
      <c r="G154" s="36">
        <v>45361</v>
      </c>
      <c r="H154" s="37" t="str">
        <f>IFERROR(VLOOKUP(Tabela1[[#This Row],[Tag]],TAGS!$J$1:$K$11,2,0),"")</f>
        <v>Não essencial</v>
      </c>
      <c r="I154" s="38" t="str">
        <f t="shared" si="2"/>
        <v>março</v>
      </c>
      <c r="J154" s="39" t="str">
        <f>IF(Tabela1[[#This Row],[Caixa]]="Receita","Recebido",IF(F154="","",IF(G154="","",IF(G154&lt;F154,"Pago atrasado",IF(Tabela1[[#This Row],[Data do Pagamento / Compra]]&gt;Tabela1[[#This Row],[Data de Compra]],"Pago","Pago")))))</f>
        <v>Pago</v>
      </c>
    </row>
    <row r="155" spans="1:10" ht="21" hidden="1" customHeight="1" x14ac:dyDescent="0.2">
      <c r="A155" s="33" t="s">
        <v>81</v>
      </c>
      <c r="B155" s="34" t="s">
        <v>29</v>
      </c>
      <c r="C155" s="34" t="s">
        <v>13</v>
      </c>
      <c r="D155" s="34" t="s">
        <v>33</v>
      </c>
      <c r="E155" s="35">
        <v>16.239999999999998</v>
      </c>
      <c r="F155" s="36">
        <v>45336</v>
      </c>
      <c r="G155" s="36">
        <v>45336</v>
      </c>
      <c r="H155" s="37" t="str">
        <f>IFERROR(VLOOKUP(Tabela1[[#This Row],[Tag]],TAGS!$J$1:$K$11,2,0),"")</f>
        <v>Essencial</v>
      </c>
      <c r="I155" s="38" t="str">
        <f t="shared" si="2"/>
        <v>fevereiro</v>
      </c>
      <c r="J155" s="39" t="str">
        <f>IF(Tabela1[[#This Row],[Caixa]]="Receita","Recebido",IF(F155="","",IF(G155="","",IF(G155&lt;F155,"Pago atrasado",IF(Tabela1[[#This Row],[Data do Pagamento / Compra]]&gt;Tabela1[[#This Row],[Data de Compra]],"Pago","Pago")))))</f>
        <v>Pago</v>
      </c>
    </row>
    <row r="156" spans="1:10" ht="21" hidden="1" customHeight="1" x14ac:dyDescent="0.2">
      <c r="A156" s="33" t="s">
        <v>107</v>
      </c>
      <c r="B156" s="34" t="s">
        <v>29</v>
      </c>
      <c r="C156" s="34" t="s">
        <v>14</v>
      </c>
      <c r="D156" s="34" t="s">
        <v>15</v>
      </c>
      <c r="E156" s="35">
        <v>55</v>
      </c>
      <c r="F156" s="36">
        <v>45336</v>
      </c>
      <c r="G156" s="36">
        <v>45336</v>
      </c>
      <c r="H156" s="37" t="str">
        <f>IFERROR(VLOOKUP(Tabela1[[#This Row],[Tag]],TAGS!$J$1:$K$11,2,0),"")</f>
        <v>Não essencial</v>
      </c>
      <c r="I156" s="38" t="str">
        <f t="shared" si="2"/>
        <v>fevereiro</v>
      </c>
      <c r="J156" s="39" t="str">
        <f>IF(Tabela1[[#This Row],[Caixa]]="Receita","Recebido",IF(F156="","",IF(G156="","",IF(G156&lt;F156,"Pago atrasado",IF(Tabela1[[#This Row],[Data do Pagamento / Compra]]&gt;Tabela1[[#This Row],[Data de Compra]],"Pago","Pago")))))</f>
        <v>Pago</v>
      </c>
    </row>
    <row r="157" spans="1:10" ht="21" hidden="1" customHeight="1" x14ac:dyDescent="0.2">
      <c r="A157" s="33" t="s">
        <v>55</v>
      </c>
      <c r="B157" s="34" t="s">
        <v>29</v>
      </c>
      <c r="C157" s="34" t="s">
        <v>14</v>
      </c>
      <c r="D157" s="34" t="s">
        <v>15</v>
      </c>
      <c r="E157" s="35">
        <v>27</v>
      </c>
      <c r="F157" s="36">
        <v>45336</v>
      </c>
      <c r="G157" s="36">
        <v>45336</v>
      </c>
      <c r="H157" s="37" t="str">
        <f>IFERROR(VLOOKUP(Tabela1[[#This Row],[Tag]],TAGS!$J$1:$K$11,2,0),"")</f>
        <v>Não essencial</v>
      </c>
      <c r="I157" s="38" t="str">
        <f t="shared" si="2"/>
        <v>fevereiro</v>
      </c>
      <c r="J157" s="39" t="str">
        <f>IF(Tabela1[[#This Row],[Caixa]]="Receita","Recebido",IF(F157="","",IF(G157="","",IF(G157&lt;F157,"Pago atrasado",IF(Tabela1[[#This Row],[Data do Pagamento / Compra]]&gt;Tabela1[[#This Row],[Data de Compra]],"Pago","Pago")))))</f>
        <v>Pago</v>
      </c>
    </row>
    <row r="158" spans="1:10" ht="21" hidden="1" customHeight="1" x14ac:dyDescent="0.2">
      <c r="A158" s="33" t="s">
        <v>81</v>
      </c>
      <c r="B158" s="34" t="s">
        <v>29</v>
      </c>
      <c r="C158" s="34" t="s">
        <v>13</v>
      </c>
      <c r="D158" s="34" t="s">
        <v>33</v>
      </c>
      <c r="E158" s="35">
        <v>24.77</v>
      </c>
      <c r="F158" s="36">
        <v>45336</v>
      </c>
      <c r="G158" s="36">
        <v>45336</v>
      </c>
      <c r="H158" s="37" t="str">
        <f>IFERROR(VLOOKUP(Tabela1[[#This Row],[Tag]],TAGS!$J$1:$K$11,2,0),"")</f>
        <v>Essencial</v>
      </c>
      <c r="I158" s="38" t="str">
        <f t="shared" si="2"/>
        <v>fevereiro</v>
      </c>
      <c r="J158" s="39" t="str">
        <f>IF(Tabela1[[#This Row],[Caixa]]="Receita","Recebido",IF(F158="","",IF(G158="","",IF(G158&lt;F158,"Pago atrasado",IF(Tabela1[[#This Row],[Data do Pagamento / Compra]]&gt;Tabela1[[#This Row],[Data de Compra]],"Pago","Pago")))))</f>
        <v>Pago</v>
      </c>
    </row>
    <row r="159" spans="1:10" ht="21" hidden="1" customHeight="1" x14ac:dyDescent="0.2">
      <c r="A159" s="33" t="s">
        <v>81</v>
      </c>
      <c r="B159" s="34" t="s">
        <v>29</v>
      </c>
      <c r="C159" s="34" t="s">
        <v>13</v>
      </c>
      <c r="D159" s="34" t="s">
        <v>33</v>
      </c>
      <c r="E159" s="35">
        <v>10.9</v>
      </c>
      <c r="F159" s="46">
        <v>45336</v>
      </c>
      <c r="G159" s="46">
        <v>45336</v>
      </c>
      <c r="H159" s="37" t="str">
        <f>IFERROR(VLOOKUP(Tabela1[[#This Row],[Tag]],TAGS!$J$1:$K$11,2,0),"")</f>
        <v>Essencial</v>
      </c>
      <c r="I159" s="38" t="str">
        <f t="shared" si="2"/>
        <v>fevereiro</v>
      </c>
      <c r="J159" s="39" t="str">
        <f>IF(Tabela1[[#This Row],[Caixa]]="Receita","Recebido",IF(F159="","",IF(G159="","",IF(G159&lt;F159,"Pago atrasado",IF(Tabela1[[#This Row],[Data do Pagamento / Compra]]&gt;Tabela1[[#This Row],[Data de Compra]],"Pago","Pago")))))</f>
        <v>Pago</v>
      </c>
    </row>
    <row r="160" spans="1:10" ht="21" hidden="1" customHeight="1" x14ac:dyDescent="0.2">
      <c r="A160" s="47" t="s">
        <v>81</v>
      </c>
      <c r="B160" s="47" t="s">
        <v>29</v>
      </c>
      <c r="C160" s="47" t="s">
        <v>13</v>
      </c>
      <c r="D160" s="47" t="s">
        <v>33</v>
      </c>
      <c r="E160" s="35">
        <v>11.7</v>
      </c>
      <c r="F160" s="46">
        <v>45336</v>
      </c>
      <c r="G160" s="46">
        <v>45336</v>
      </c>
      <c r="H160" s="37" t="str">
        <f>IFERROR(VLOOKUP(Tabela1[[#This Row],[Tag]],TAGS!$J$1:$K$11,2,0),"")</f>
        <v>Essencial</v>
      </c>
      <c r="I160" s="38" t="str">
        <f t="shared" si="2"/>
        <v>fevereiro</v>
      </c>
      <c r="J160" s="39" t="str">
        <f>IF(Tabela1[[#This Row],[Caixa]]="Receita","Recebido",IF(F160="","",IF(G160="","",IF(G160&lt;F160,"Pago atrasado",IF(Tabela1[[#This Row],[Data do Pagamento / Compra]]&gt;Tabela1[[#This Row],[Data de Compra]],"Pago","Pago")))))</f>
        <v>Pago</v>
      </c>
    </row>
    <row r="161" spans="1:10" ht="21" hidden="1" customHeight="1" x14ac:dyDescent="0.2">
      <c r="A161" s="48" t="s">
        <v>81</v>
      </c>
      <c r="B161" s="49" t="s">
        <v>29</v>
      </c>
      <c r="C161" s="49" t="s">
        <v>13</v>
      </c>
      <c r="D161" s="49" t="s">
        <v>33</v>
      </c>
      <c r="E161" s="35">
        <v>13</v>
      </c>
      <c r="F161" s="46">
        <v>45336</v>
      </c>
      <c r="G161" s="46">
        <v>45336</v>
      </c>
      <c r="H161" s="37" t="str">
        <f>IFERROR(VLOOKUP(Tabela1[[#This Row],[Tag]],TAGS!$J$1:$K$11,2,0),"")</f>
        <v>Essencial</v>
      </c>
      <c r="I161" s="38" t="str">
        <f t="shared" si="2"/>
        <v>fevereiro</v>
      </c>
      <c r="J161" s="39" t="str">
        <f>IF(Tabela1[[#This Row],[Caixa]]="Receita","Recebido",IF(F161="","",IF(G161="","",IF(G161&lt;F161,"Pago atrasado",IF(Tabela1[[#This Row],[Data do Pagamento / Compra]]&gt;Tabela1[[#This Row],[Data de Compra]],"Pago","Pago")))))</f>
        <v>Pago</v>
      </c>
    </row>
    <row r="162" spans="1:10" ht="21" hidden="1" customHeight="1" x14ac:dyDescent="0.2">
      <c r="A162" s="33" t="s">
        <v>48</v>
      </c>
      <c r="B162" s="49" t="s">
        <v>29</v>
      </c>
      <c r="C162" s="34" t="s">
        <v>12</v>
      </c>
      <c r="D162" s="34" t="s">
        <v>15</v>
      </c>
      <c r="E162" s="35">
        <v>116.86</v>
      </c>
      <c r="F162" s="46">
        <v>45336</v>
      </c>
      <c r="G162" s="46">
        <v>45336</v>
      </c>
      <c r="H162" s="37" t="str">
        <f>IFERROR(VLOOKUP(Tabela1[[#This Row],[Tag]],TAGS!$J$1:$K$11,2,0),"")</f>
        <v>Essencial</v>
      </c>
      <c r="I162" s="38" t="str">
        <f t="shared" si="2"/>
        <v>fevereiro</v>
      </c>
      <c r="J162" s="39" t="str">
        <f>IF(Tabela1[[#This Row],[Caixa]]="Receita","Recebido",IF(F162="","",IF(G162="","",IF(G162&lt;F162,"Pago atrasado",IF(Tabela1[[#This Row],[Data do Pagamento / Compra]]&gt;Tabela1[[#This Row],[Data de Compra]],"Pago","Pago")))))</f>
        <v>Pago</v>
      </c>
    </row>
    <row r="163" spans="1:10" ht="21" hidden="1" customHeight="1" x14ac:dyDescent="0.2">
      <c r="A163" s="33" t="s">
        <v>104</v>
      </c>
      <c r="B163" s="49" t="s">
        <v>29</v>
      </c>
      <c r="C163" s="34" t="s">
        <v>12</v>
      </c>
      <c r="D163" s="34" t="s">
        <v>15</v>
      </c>
      <c r="E163" s="35">
        <v>18</v>
      </c>
      <c r="F163" s="46">
        <v>45336</v>
      </c>
      <c r="G163" s="46">
        <v>45336</v>
      </c>
      <c r="H163" s="37" t="str">
        <f>IFERROR(VLOOKUP(Tabela1[[#This Row],[Tag]],TAGS!$J$1:$K$11,2,0),"")</f>
        <v>Essencial</v>
      </c>
      <c r="I163" s="38" t="str">
        <f t="shared" si="2"/>
        <v>fevereiro</v>
      </c>
      <c r="J163" s="39" t="str">
        <f>IF(Tabela1[[#This Row],[Caixa]]="Receita","Recebido",IF(F163="","",IF(G163="","",IF(G163&lt;F163,"Pago atrasado",IF(Tabela1[[#This Row],[Data do Pagamento / Compra]]&gt;Tabela1[[#This Row],[Data de Compra]],"Pago","Pago")))))</f>
        <v>Pago</v>
      </c>
    </row>
    <row r="164" spans="1:10" ht="21" hidden="1" customHeight="1" x14ac:dyDescent="0.2">
      <c r="A164" s="33" t="s">
        <v>108</v>
      </c>
      <c r="B164" s="34" t="s">
        <v>28</v>
      </c>
      <c r="C164" s="34" t="s">
        <v>31</v>
      </c>
      <c r="D164" s="34" t="s">
        <v>33</v>
      </c>
      <c r="E164" s="35">
        <v>7218</v>
      </c>
      <c r="F164" s="36">
        <v>45337</v>
      </c>
      <c r="G164" s="36">
        <v>45337</v>
      </c>
      <c r="H164" s="37" t="str">
        <f>IFERROR(VLOOKUP(Tabela1[[#This Row],[Tag]],TAGS!$J$1:$K$11,2,0),"")</f>
        <v>Receita</v>
      </c>
      <c r="I164" s="38" t="str">
        <f t="shared" si="2"/>
        <v>fevereiro</v>
      </c>
      <c r="J164" s="39" t="str">
        <f>IF(Tabela1[[#This Row],[Caixa]]="Receita","Recebido",IF(F164="","",IF(G164="","",IF(G164&lt;F164,"Pago atrasado",IF(Tabela1[[#This Row],[Data do Pagamento / Compra]]&gt;Tabela1[[#This Row],[Data de Compra]],"Pago","Pago")))))</f>
        <v>Recebido</v>
      </c>
    </row>
    <row r="165" spans="1:10" ht="21" hidden="1" customHeight="1" x14ac:dyDescent="0.2">
      <c r="A165" s="33" t="s">
        <v>4</v>
      </c>
      <c r="B165" s="34" t="s">
        <v>29</v>
      </c>
      <c r="C165" s="34" t="s">
        <v>11</v>
      </c>
      <c r="D165" s="34" t="s">
        <v>15</v>
      </c>
      <c r="E165" s="35">
        <v>223</v>
      </c>
      <c r="F165" s="36">
        <v>45337</v>
      </c>
      <c r="G165" s="36">
        <v>45337</v>
      </c>
      <c r="H165" s="37" t="str">
        <f>IFERROR(VLOOKUP(Tabela1[[#This Row],[Tag]],TAGS!$J$1:$K$11,2,0),"")</f>
        <v>Essencial</v>
      </c>
      <c r="I165" s="38" t="str">
        <f t="shared" si="2"/>
        <v>fevereiro</v>
      </c>
      <c r="J165" s="39" t="str">
        <f>IF(Tabela1[[#This Row],[Caixa]]="Receita","Recebido",IF(F165="","",IF(G165="","",IF(G165&lt;F165,"Pago atrasado",IF(Tabela1[[#This Row],[Data do Pagamento / Compra]]&gt;Tabela1[[#This Row],[Data de Compra]],"Pago","Pago")))))</f>
        <v>Pago</v>
      </c>
    </row>
    <row r="166" spans="1:10" ht="21" hidden="1" customHeight="1" x14ac:dyDescent="0.2">
      <c r="A166" s="48" t="s">
        <v>81</v>
      </c>
      <c r="B166" s="49" t="s">
        <v>29</v>
      </c>
      <c r="C166" s="49" t="s">
        <v>13</v>
      </c>
      <c r="D166" s="49" t="s">
        <v>15</v>
      </c>
      <c r="E166" s="35">
        <v>17.32</v>
      </c>
      <c r="F166" s="36">
        <v>45337</v>
      </c>
      <c r="G166" s="36">
        <v>45337</v>
      </c>
      <c r="H166" s="37" t="str">
        <f>IFERROR(VLOOKUP(Tabela1[[#This Row],[Tag]],TAGS!$J$1:$K$11,2,0),"")</f>
        <v>Essencial</v>
      </c>
      <c r="I166" s="38" t="str">
        <f t="shared" si="2"/>
        <v>fevereiro</v>
      </c>
      <c r="J166" s="39" t="str">
        <f>IF(Tabela1[[#This Row],[Caixa]]="Receita","Recebido",IF(F166="","",IF(G166="","",IF(G166&lt;F166,"Pago atrasado",IF(Tabela1[[#This Row],[Data do Pagamento / Compra]]&gt;Tabela1[[#This Row],[Data de Compra]],"Pago","Pago")))))</f>
        <v>Pago</v>
      </c>
    </row>
    <row r="167" spans="1:10" ht="21" hidden="1" customHeight="1" x14ac:dyDescent="0.2">
      <c r="A167" s="33" t="s">
        <v>46</v>
      </c>
      <c r="B167" s="34" t="s">
        <v>29</v>
      </c>
      <c r="C167" s="34" t="s">
        <v>47</v>
      </c>
      <c r="D167" s="34" t="s">
        <v>15</v>
      </c>
      <c r="E167" s="35">
        <v>10.35</v>
      </c>
      <c r="F167" s="36">
        <v>45337</v>
      </c>
      <c r="G167" s="36">
        <v>45337</v>
      </c>
      <c r="H167" s="37" t="str">
        <f>IFERROR(VLOOKUP(Tabela1[[#This Row],[Tag]],TAGS!$J$1:$K$11,2,0),"")</f>
        <v>Essencial</v>
      </c>
      <c r="I167" s="38" t="str">
        <f t="shared" si="2"/>
        <v>fevereiro</v>
      </c>
      <c r="J167" s="39" t="str">
        <f>IF(Tabela1[[#This Row],[Caixa]]="Receita","Recebido",IF(F167="","",IF(G167="","",IF(G167&lt;F167,"Pago atrasado",IF(Tabela1[[#This Row],[Data do Pagamento / Compra]]&gt;Tabela1[[#This Row],[Data de Compra]],"Pago","Pago")))))</f>
        <v>Pago</v>
      </c>
    </row>
    <row r="168" spans="1:10" ht="21" hidden="1" customHeight="1" x14ac:dyDescent="0.2">
      <c r="A168" s="33" t="s">
        <v>55</v>
      </c>
      <c r="B168" s="34" t="s">
        <v>29</v>
      </c>
      <c r="C168" s="34" t="s">
        <v>14</v>
      </c>
      <c r="D168" s="34" t="s">
        <v>15</v>
      </c>
      <c r="E168" s="35">
        <v>14.97</v>
      </c>
      <c r="F168" s="36">
        <v>45337</v>
      </c>
      <c r="G168" s="36">
        <v>45337</v>
      </c>
      <c r="H168" s="37" t="str">
        <f>IFERROR(VLOOKUP(Tabela1[[#This Row],[Tag]],TAGS!$J$1:$K$11,2,0),"")</f>
        <v>Não essencial</v>
      </c>
      <c r="I168" s="38" t="str">
        <f t="shared" si="2"/>
        <v>fevereiro</v>
      </c>
      <c r="J168" s="39" t="str">
        <f>IF(Tabela1[[#This Row],[Caixa]]="Receita","Recebido",IF(F168="","",IF(G168="","",IF(G168&lt;F168,"Pago atrasado",IF(Tabela1[[#This Row],[Data do Pagamento / Compra]]&gt;Tabela1[[#This Row],[Data de Compra]],"Pago","Pago")))))</f>
        <v>Pago</v>
      </c>
    </row>
    <row r="169" spans="1:10" ht="21" hidden="1" customHeight="1" x14ac:dyDescent="0.2">
      <c r="A169" s="48" t="s">
        <v>81</v>
      </c>
      <c r="B169" s="49" t="s">
        <v>29</v>
      </c>
      <c r="C169" s="49" t="s">
        <v>13</v>
      </c>
      <c r="D169" s="49" t="s">
        <v>15</v>
      </c>
      <c r="E169" s="35">
        <v>20.28</v>
      </c>
      <c r="F169" s="36">
        <v>45337</v>
      </c>
      <c r="G169" s="36">
        <v>45337</v>
      </c>
      <c r="H169" s="37" t="str">
        <f>IFERROR(VLOOKUP(Tabela1[[#This Row],[Tag]],TAGS!$J$1:$K$11,2,0),"")</f>
        <v>Essencial</v>
      </c>
      <c r="I169" s="38" t="str">
        <f t="shared" si="2"/>
        <v>fevereiro</v>
      </c>
      <c r="J169" s="39" t="str">
        <f>IF(Tabela1[[#This Row],[Caixa]]="Receita","Recebido",IF(F169="","",IF(G169="","",IF(G169&lt;F169,"Pago atrasado",IF(Tabela1[[#This Row],[Data do Pagamento / Compra]]&gt;Tabela1[[#This Row],[Data de Compra]],"Pago","Pago")))))</f>
        <v>Pago</v>
      </c>
    </row>
    <row r="170" spans="1:10" ht="21" hidden="1" customHeight="1" x14ac:dyDescent="0.2">
      <c r="A170" s="33" t="s">
        <v>119</v>
      </c>
      <c r="B170" s="34" t="s">
        <v>41</v>
      </c>
      <c r="C170" s="34" t="s">
        <v>41</v>
      </c>
      <c r="D170" s="34" t="s">
        <v>15</v>
      </c>
      <c r="E170" s="35">
        <v>5818</v>
      </c>
      <c r="F170" s="36">
        <v>45337</v>
      </c>
      <c r="G170" s="36">
        <v>45337</v>
      </c>
      <c r="H170" s="37" t="str">
        <f>IFERROR(VLOOKUP(Tabela1[[#This Row],[Tag]],TAGS!$J$1:$K$11,2,0),"")</f>
        <v>Investimento</v>
      </c>
      <c r="I170" s="38" t="str">
        <f t="shared" si="2"/>
        <v>fevereiro</v>
      </c>
      <c r="J170" s="39" t="str">
        <f>IF(Tabela1[[#This Row],[Caixa]]="Receita","Recebido",IF(F170="","",IF(G170="","",IF(G170&lt;F170,"Pago atrasado",IF(Tabela1[[#This Row],[Data do Pagamento / Compra]]&gt;Tabela1[[#This Row],[Data de Compra]],"Pago","Pago")))))</f>
        <v>Pago</v>
      </c>
    </row>
    <row r="171" spans="1:10" ht="21" hidden="1" customHeight="1" x14ac:dyDescent="0.2">
      <c r="A171" s="48" t="s">
        <v>81</v>
      </c>
      <c r="B171" s="49" t="s">
        <v>29</v>
      </c>
      <c r="C171" s="49" t="s">
        <v>13</v>
      </c>
      <c r="D171" s="49" t="s">
        <v>15</v>
      </c>
      <c r="E171" s="35">
        <v>18.100000000000001</v>
      </c>
      <c r="F171" s="36">
        <v>45338</v>
      </c>
      <c r="G171" s="36">
        <v>45338</v>
      </c>
      <c r="H171" s="37" t="str">
        <f>IFERROR(VLOOKUP(Tabela1[[#This Row],[Tag]],TAGS!$J$1:$K$11,2,0),"")</f>
        <v>Essencial</v>
      </c>
      <c r="I171" s="38" t="str">
        <f t="shared" si="2"/>
        <v>fevereiro</v>
      </c>
      <c r="J171" s="39" t="str">
        <f>IF(Tabela1[[#This Row],[Caixa]]="Receita","Recebido",IF(F171="","",IF(G171="","",IF(G171&lt;F171,"Pago atrasado",IF(Tabela1[[#This Row],[Data do Pagamento / Compra]]&gt;Tabela1[[#This Row],[Data de Compra]],"Pago","Pago")))))</f>
        <v>Pago</v>
      </c>
    </row>
    <row r="172" spans="1:10" ht="21" hidden="1" customHeight="1" x14ac:dyDescent="0.2">
      <c r="A172" s="33" t="s">
        <v>109</v>
      </c>
      <c r="B172" s="34" t="s">
        <v>28</v>
      </c>
      <c r="C172" s="34" t="s">
        <v>14</v>
      </c>
      <c r="D172" s="34" t="s">
        <v>15</v>
      </c>
      <c r="E172" s="35">
        <v>95</v>
      </c>
      <c r="F172" s="36">
        <v>45338</v>
      </c>
      <c r="G172" s="36">
        <v>45338</v>
      </c>
      <c r="H172" s="37" t="str">
        <f>IFERROR(VLOOKUP(Tabela1[[#This Row],[Tag]],TAGS!$J$1:$K$11,2,0),"")</f>
        <v>Não essencial</v>
      </c>
      <c r="I172" s="38" t="str">
        <f t="shared" si="2"/>
        <v>fevereiro</v>
      </c>
      <c r="J172" s="39" t="str">
        <f>IF(Tabela1[[#This Row],[Caixa]]="Receita","Recebido",IF(F172="","",IF(G172="","",IF(G172&lt;F172,"Pago atrasado",IF(Tabela1[[#This Row],[Data do Pagamento / Compra]]&gt;Tabela1[[#This Row],[Data de Compra]],"Pago","Pago")))))</f>
        <v>Recebido</v>
      </c>
    </row>
    <row r="173" spans="1:10" ht="21" hidden="1" customHeight="1" x14ac:dyDescent="0.2">
      <c r="A173" s="33" t="s">
        <v>48</v>
      </c>
      <c r="B173" s="49" t="s">
        <v>29</v>
      </c>
      <c r="C173" s="34" t="s">
        <v>12</v>
      </c>
      <c r="D173" s="34" t="s">
        <v>15</v>
      </c>
      <c r="E173" s="35">
        <v>255</v>
      </c>
      <c r="F173" s="36">
        <v>45341</v>
      </c>
      <c r="G173" s="36">
        <v>45341</v>
      </c>
      <c r="H173" s="37" t="str">
        <f>IFERROR(VLOOKUP(Tabela1[[#This Row],[Tag]],TAGS!$J$1:$K$11,2,0),"")</f>
        <v>Essencial</v>
      </c>
      <c r="I173" s="38" t="str">
        <f t="shared" si="2"/>
        <v>fevereiro</v>
      </c>
      <c r="J173" s="39" t="str">
        <f>IF(Tabela1[[#This Row],[Caixa]]="Receita","Recebido",IF(F173="","",IF(G173="","",IF(G173&lt;F173,"Pago atrasado",IF(Tabela1[[#This Row],[Data do Pagamento / Compra]]&gt;Tabela1[[#This Row],[Data de Compra]],"Pago","Pago")))))</f>
        <v>Pago</v>
      </c>
    </row>
    <row r="174" spans="1:10" ht="21" hidden="1" customHeight="1" x14ac:dyDescent="0.2">
      <c r="A174" s="33" t="s">
        <v>110</v>
      </c>
      <c r="B174" s="49" t="s">
        <v>29</v>
      </c>
      <c r="C174" s="34" t="s">
        <v>21</v>
      </c>
      <c r="D174" s="34" t="s">
        <v>15</v>
      </c>
      <c r="E174" s="35">
        <v>23</v>
      </c>
      <c r="F174" s="36">
        <v>45341</v>
      </c>
      <c r="G174" s="36">
        <v>45341</v>
      </c>
      <c r="H174" s="37" t="str">
        <f>IFERROR(VLOOKUP(Tabela1[[#This Row],[Tag]],TAGS!$J$1:$K$11,2,0),"")</f>
        <v>Não essencial</v>
      </c>
      <c r="I174" s="38" t="str">
        <f t="shared" si="2"/>
        <v>fevereiro</v>
      </c>
      <c r="J174" s="39" t="str">
        <f>IF(Tabela1[[#This Row],[Caixa]]="Receita","Recebido",IF(F174="","",IF(G174="","",IF(G174&lt;F174,"Pago atrasado",IF(Tabela1[[#This Row],[Data do Pagamento / Compra]]&gt;Tabela1[[#This Row],[Data de Compra]],"Pago","Pago")))))</f>
        <v>Pago</v>
      </c>
    </row>
    <row r="175" spans="1:10" ht="21" hidden="1" customHeight="1" x14ac:dyDescent="0.2">
      <c r="A175" s="33" t="s">
        <v>111</v>
      </c>
      <c r="B175" s="34" t="s">
        <v>29</v>
      </c>
      <c r="C175" s="34" t="s">
        <v>13</v>
      </c>
      <c r="D175" s="34" t="s">
        <v>15</v>
      </c>
      <c r="E175" s="35">
        <v>9.9600000000000009</v>
      </c>
      <c r="F175" s="36">
        <v>45341</v>
      </c>
      <c r="G175" s="36">
        <v>45341</v>
      </c>
      <c r="H175" s="37" t="str">
        <f>IFERROR(VLOOKUP(Tabela1[[#This Row],[Tag]],TAGS!$J$1:$K$11,2,0),"")</f>
        <v>Essencial</v>
      </c>
      <c r="I175" s="38" t="str">
        <f t="shared" si="2"/>
        <v>fevereiro</v>
      </c>
      <c r="J175" s="39" t="str">
        <f>IF(Tabela1[[#This Row],[Caixa]]="Receita","Recebido",IF(F175="","",IF(G175="","",IF(G175&lt;F175,"Pago atrasado",IF(Tabela1[[#This Row],[Data do Pagamento / Compra]]&gt;Tabela1[[#This Row],[Data de Compra]],"Pago","Pago")))))</f>
        <v>Pago</v>
      </c>
    </row>
    <row r="176" spans="1:10" ht="21" hidden="1" customHeight="1" x14ac:dyDescent="0.2">
      <c r="A176" s="33" t="s">
        <v>112</v>
      </c>
      <c r="B176" s="34" t="s">
        <v>29</v>
      </c>
      <c r="C176" s="34" t="s">
        <v>21</v>
      </c>
      <c r="D176" s="34" t="s">
        <v>15</v>
      </c>
      <c r="E176" s="35">
        <v>89</v>
      </c>
      <c r="F176" s="36">
        <v>45341</v>
      </c>
      <c r="G176" s="36">
        <v>45341</v>
      </c>
      <c r="H176" s="37" t="str">
        <f>IFERROR(VLOOKUP(Tabela1[[#This Row],[Tag]],TAGS!$J$1:$K$11,2,0),"")</f>
        <v>Não essencial</v>
      </c>
      <c r="I176" s="38" t="str">
        <f t="shared" si="2"/>
        <v>fevereiro</v>
      </c>
      <c r="J176" s="39" t="str">
        <f>IF(Tabela1[[#This Row],[Caixa]]="Receita","Recebido",IF(F176="","",IF(G176="","",IF(G176&lt;F176,"Pago atrasado",IF(Tabela1[[#This Row],[Data do Pagamento / Compra]]&gt;Tabela1[[#This Row],[Data de Compra]],"Pago","Pago")))))</f>
        <v>Pago</v>
      </c>
    </row>
    <row r="177" spans="1:10" ht="21" hidden="1" customHeight="1" x14ac:dyDescent="0.2">
      <c r="A177" s="33" t="s">
        <v>81</v>
      </c>
      <c r="B177" s="34" t="s">
        <v>29</v>
      </c>
      <c r="C177" s="34" t="s">
        <v>13</v>
      </c>
      <c r="D177" s="34" t="s">
        <v>15</v>
      </c>
      <c r="E177" s="35">
        <v>12.3</v>
      </c>
      <c r="F177" s="36">
        <v>45341</v>
      </c>
      <c r="G177" s="36">
        <v>45341</v>
      </c>
      <c r="H177" s="37" t="str">
        <f>IFERROR(VLOOKUP(Tabela1[[#This Row],[Tag]],TAGS!$J$1:$K$11,2,0),"")</f>
        <v>Essencial</v>
      </c>
      <c r="I177" s="38" t="str">
        <f t="shared" si="2"/>
        <v>fevereiro</v>
      </c>
      <c r="J177" s="39" t="str">
        <f>IF(Tabela1[[#This Row],[Caixa]]="Receita","Recebido",IF(F177="","",IF(G177="","",IF(G177&lt;F177,"Pago atrasado",IF(Tabela1[[#This Row],[Data do Pagamento / Compra]]&gt;Tabela1[[#This Row],[Data de Compra]],"Pago","Pago")))))</f>
        <v>Pago</v>
      </c>
    </row>
    <row r="178" spans="1:10" ht="21" hidden="1" customHeight="1" x14ac:dyDescent="0.2">
      <c r="A178" s="33" t="s">
        <v>81</v>
      </c>
      <c r="B178" s="34" t="s">
        <v>29</v>
      </c>
      <c r="C178" s="34" t="s">
        <v>13</v>
      </c>
      <c r="D178" s="34" t="s">
        <v>15</v>
      </c>
      <c r="E178" s="35">
        <v>11.5</v>
      </c>
      <c r="F178" s="36">
        <v>45341</v>
      </c>
      <c r="G178" s="36">
        <v>45341</v>
      </c>
      <c r="H178" s="37" t="str">
        <f>IFERROR(VLOOKUP(Tabela1[[#This Row],[Tag]],TAGS!$J$1:$K$11,2,0),"")</f>
        <v>Essencial</v>
      </c>
      <c r="I178" s="38" t="str">
        <f t="shared" si="2"/>
        <v>fevereiro</v>
      </c>
      <c r="J178" s="39" t="str">
        <f>IF(Tabela1[[#This Row],[Caixa]]="Receita","Recebido",IF(F178="","",IF(G178="","",IF(G178&lt;F178,"Pago atrasado",IF(Tabela1[[#This Row],[Data do Pagamento / Compra]]&gt;Tabela1[[#This Row],[Data de Compra]],"Pago","Pago")))))</f>
        <v>Pago</v>
      </c>
    </row>
    <row r="179" spans="1:10" ht="21" hidden="1" customHeight="1" x14ac:dyDescent="0.2">
      <c r="A179" s="33" t="s">
        <v>81</v>
      </c>
      <c r="B179" s="34" t="s">
        <v>29</v>
      </c>
      <c r="C179" s="34" t="s">
        <v>13</v>
      </c>
      <c r="D179" s="34" t="s">
        <v>15</v>
      </c>
      <c r="E179" s="35">
        <v>16.7</v>
      </c>
      <c r="F179" s="36">
        <v>45341</v>
      </c>
      <c r="G179" s="36">
        <v>45341</v>
      </c>
      <c r="H179" s="37" t="str">
        <f>IFERROR(VLOOKUP(Tabela1[[#This Row],[Tag]],TAGS!$J$1:$K$11,2,0),"")</f>
        <v>Essencial</v>
      </c>
      <c r="I179" s="38" t="str">
        <f t="shared" si="2"/>
        <v>fevereiro</v>
      </c>
      <c r="J179" s="39" t="str">
        <f>IF(Tabela1[[#This Row],[Caixa]]="Receita","Recebido",IF(F179="","",IF(G179="","",IF(G179&lt;F179,"Pago atrasado",IF(Tabela1[[#This Row],[Data do Pagamento / Compra]]&gt;Tabela1[[#This Row],[Data de Compra]],"Pago","Pago")))))</f>
        <v>Pago</v>
      </c>
    </row>
    <row r="180" spans="1:10" ht="21" hidden="1" customHeight="1" x14ac:dyDescent="0.2">
      <c r="A180" s="33" t="s">
        <v>111</v>
      </c>
      <c r="B180" s="34" t="s">
        <v>29</v>
      </c>
      <c r="C180" s="34" t="s">
        <v>13</v>
      </c>
      <c r="D180" s="34" t="s">
        <v>15</v>
      </c>
      <c r="E180" s="35">
        <v>9.98</v>
      </c>
      <c r="F180" s="36">
        <v>45341</v>
      </c>
      <c r="G180" s="36">
        <v>45341</v>
      </c>
      <c r="H180" s="37" t="str">
        <f>IFERROR(VLOOKUP(Tabela1[[#This Row],[Tag]],TAGS!$J$1:$K$11,2,0),"")</f>
        <v>Essencial</v>
      </c>
      <c r="I180" s="38" t="str">
        <f t="shared" si="2"/>
        <v>fevereiro</v>
      </c>
      <c r="J180" s="39" t="str">
        <f>IF(Tabela1[[#This Row],[Caixa]]="Receita","Recebido",IF(F180="","",IF(G180="","",IF(G180&lt;F180,"Pago atrasado",IF(Tabela1[[#This Row],[Data do Pagamento / Compra]]&gt;Tabela1[[#This Row],[Data de Compra]],"Pago","Pago")))))</f>
        <v>Pago</v>
      </c>
    </row>
    <row r="181" spans="1:10" ht="21" hidden="1" customHeight="1" x14ac:dyDescent="0.2">
      <c r="A181" s="33" t="s">
        <v>113</v>
      </c>
      <c r="B181" s="34" t="s">
        <v>29</v>
      </c>
      <c r="C181" s="34" t="s">
        <v>21</v>
      </c>
      <c r="D181" s="34" t="s">
        <v>15</v>
      </c>
      <c r="E181" s="35">
        <v>49.9</v>
      </c>
      <c r="F181" s="36">
        <v>45341</v>
      </c>
      <c r="G181" s="36">
        <v>45341</v>
      </c>
      <c r="H181" s="37" t="str">
        <f>IFERROR(VLOOKUP(Tabela1[[#This Row],[Tag]],TAGS!$J$1:$K$11,2,0),"")</f>
        <v>Não essencial</v>
      </c>
      <c r="I181" s="38" t="str">
        <f t="shared" si="2"/>
        <v>fevereiro</v>
      </c>
      <c r="J181" s="39" t="str">
        <f>IF(Tabela1[[#This Row],[Caixa]]="Receita","Recebido",IF(F181="","",IF(G181="","",IF(G181&lt;F181,"Pago atrasado",IF(Tabela1[[#This Row],[Data do Pagamento / Compra]]&gt;Tabela1[[#This Row],[Data de Compra]],"Pago","Pago")))))</f>
        <v>Pago</v>
      </c>
    </row>
    <row r="182" spans="1:10" ht="21" hidden="1" customHeight="1" x14ac:dyDescent="0.2">
      <c r="A182" s="33" t="s">
        <v>114</v>
      </c>
      <c r="B182" s="34" t="s">
        <v>29</v>
      </c>
      <c r="C182" s="34" t="s">
        <v>21</v>
      </c>
      <c r="D182" s="34" t="s">
        <v>15</v>
      </c>
      <c r="E182" s="35">
        <v>30</v>
      </c>
      <c r="F182" s="36">
        <v>45341</v>
      </c>
      <c r="G182" s="36">
        <v>45341</v>
      </c>
      <c r="H182" s="37" t="str">
        <f>IFERROR(VLOOKUP(Tabela1[[#This Row],[Tag]],TAGS!$J$1:$K$11,2,0),"")</f>
        <v>Não essencial</v>
      </c>
      <c r="I182" s="38" t="str">
        <f t="shared" si="2"/>
        <v>fevereiro</v>
      </c>
      <c r="J182" s="39" t="str">
        <f>IF(Tabela1[[#This Row],[Caixa]]="Receita","Recebido",IF(F182="","",IF(G182="","",IF(G182&lt;F182,"Pago atrasado",IF(Tabela1[[#This Row],[Data do Pagamento / Compra]]&gt;Tabela1[[#This Row],[Data de Compra]],"Pago","Pago")))))</f>
        <v>Pago</v>
      </c>
    </row>
    <row r="183" spans="1:10" ht="21" hidden="1" customHeight="1" x14ac:dyDescent="0.2">
      <c r="A183" s="33" t="s">
        <v>5</v>
      </c>
      <c r="B183" s="34" t="s">
        <v>29</v>
      </c>
      <c r="C183" s="34" t="s">
        <v>21</v>
      </c>
      <c r="D183" s="34" t="s">
        <v>5</v>
      </c>
      <c r="E183" s="35">
        <v>10</v>
      </c>
      <c r="F183" s="36">
        <v>45341</v>
      </c>
      <c r="G183" s="36">
        <v>45341</v>
      </c>
      <c r="H183" s="37" t="str">
        <f>IFERROR(VLOOKUP(Tabela1[[#This Row],[Tag]],TAGS!$J$1:$K$11,2,0),"")</f>
        <v>Não essencial</v>
      </c>
      <c r="I183" s="38" t="str">
        <f t="shared" si="2"/>
        <v>fevereiro</v>
      </c>
      <c r="J183" s="39" t="str">
        <f>IF(Tabela1[[#This Row],[Caixa]]="Receita","Recebido",IF(F183="","",IF(G183="","",IF(G183&lt;F183,"Pago atrasado",IF(Tabela1[[#This Row],[Data do Pagamento / Compra]]&gt;Tabela1[[#This Row],[Data de Compra]],"Pago","Pago")))))</f>
        <v>Pago</v>
      </c>
    </row>
    <row r="184" spans="1:10" ht="21" hidden="1" customHeight="1" x14ac:dyDescent="0.2">
      <c r="A184" s="33" t="s">
        <v>81</v>
      </c>
      <c r="B184" s="34" t="s">
        <v>29</v>
      </c>
      <c r="C184" s="34" t="s">
        <v>13</v>
      </c>
      <c r="D184" s="34" t="s">
        <v>15</v>
      </c>
      <c r="E184" s="35">
        <v>12</v>
      </c>
      <c r="F184" s="36">
        <v>45342</v>
      </c>
      <c r="G184" s="36">
        <v>45342</v>
      </c>
      <c r="H184" s="37" t="str">
        <f>IFERROR(VLOOKUP(Tabela1[[#This Row],[Tag]],TAGS!$J$1:$K$11,2,0),"")</f>
        <v>Essencial</v>
      </c>
      <c r="I184" s="38" t="str">
        <f t="shared" si="2"/>
        <v>fevereiro</v>
      </c>
      <c r="J184" s="39" t="str">
        <f>IF(Tabela1[[#This Row],[Caixa]]="Receita","Recebido",IF(F184="","",IF(G184="","",IF(G184&lt;F184,"Pago atrasado",IF(Tabela1[[#This Row],[Data do Pagamento / Compra]]&gt;Tabela1[[#This Row],[Data de Compra]],"Pago","Pago")))))</f>
        <v>Pago</v>
      </c>
    </row>
    <row r="185" spans="1:10" ht="21" hidden="1" customHeight="1" x14ac:dyDescent="0.2">
      <c r="A185" s="33" t="s">
        <v>81</v>
      </c>
      <c r="B185" s="34" t="s">
        <v>29</v>
      </c>
      <c r="C185" s="34" t="s">
        <v>13</v>
      </c>
      <c r="D185" s="34" t="s">
        <v>15</v>
      </c>
      <c r="E185" s="35">
        <v>15</v>
      </c>
      <c r="F185" s="36">
        <v>45342</v>
      </c>
      <c r="G185" s="36">
        <v>45342</v>
      </c>
      <c r="H185" s="37" t="str">
        <f>IFERROR(VLOOKUP(Tabela1[[#This Row],[Tag]],TAGS!$J$1:$K$11,2,0),"")</f>
        <v>Essencial</v>
      </c>
      <c r="I185" s="38" t="str">
        <f t="shared" si="2"/>
        <v>fevereiro</v>
      </c>
      <c r="J185" s="39" t="str">
        <f>IF(Tabela1[[#This Row],[Caixa]]="Receita","Recebido",IF(F185="","",IF(G185="","",IF(G185&lt;F185,"Pago atrasado",IF(Tabela1[[#This Row],[Data do Pagamento / Compra]]&gt;Tabela1[[#This Row],[Data de Compra]],"Pago","Pago")))))</f>
        <v>Pago</v>
      </c>
    </row>
    <row r="186" spans="1:10" ht="21" hidden="1" customHeight="1" x14ac:dyDescent="0.2">
      <c r="A186" s="33" t="s">
        <v>115</v>
      </c>
      <c r="B186" s="34" t="s">
        <v>29</v>
      </c>
      <c r="C186" s="34" t="s">
        <v>21</v>
      </c>
      <c r="D186" s="34" t="s">
        <v>15</v>
      </c>
      <c r="E186" s="35">
        <v>17.8</v>
      </c>
      <c r="F186" s="36">
        <v>45342</v>
      </c>
      <c r="G186" s="36">
        <v>45342</v>
      </c>
      <c r="H186" s="37" t="str">
        <f>IFERROR(VLOOKUP(Tabela1[[#This Row],[Tag]],TAGS!$J$1:$K$11,2,0),"")</f>
        <v>Não essencial</v>
      </c>
      <c r="I186" s="38" t="str">
        <f t="shared" si="2"/>
        <v>fevereiro</v>
      </c>
      <c r="J186" s="39" t="str">
        <f>IF(Tabela1[[#This Row],[Caixa]]="Receita","Recebido",IF(F186="","",IF(G186="","",IF(G186&lt;F186,"Pago atrasado",IF(Tabela1[[#This Row],[Data do Pagamento / Compra]]&gt;Tabela1[[#This Row],[Data de Compra]],"Pago","Pago")))))</f>
        <v>Pago</v>
      </c>
    </row>
    <row r="187" spans="1:10" ht="21" hidden="1" customHeight="1" x14ac:dyDescent="0.2">
      <c r="A187" s="33" t="s">
        <v>74</v>
      </c>
      <c r="B187" s="34" t="s">
        <v>29</v>
      </c>
      <c r="C187" s="34" t="s">
        <v>21</v>
      </c>
      <c r="D187" s="34" t="s">
        <v>15</v>
      </c>
      <c r="E187" s="35">
        <v>19.899999999999999</v>
      </c>
      <c r="F187" s="36">
        <v>45342</v>
      </c>
      <c r="G187" s="36">
        <v>45342</v>
      </c>
      <c r="H187" s="37" t="str">
        <f>IFERROR(VLOOKUP(Tabela1[[#This Row],[Tag]],TAGS!$J$1:$K$11,2,0),"")</f>
        <v>Não essencial</v>
      </c>
      <c r="I187" s="38" t="str">
        <f t="shared" si="2"/>
        <v>fevereiro</v>
      </c>
      <c r="J187" s="39" t="str">
        <f>IF(Tabela1[[#This Row],[Caixa]]="Receita","Recebido",IF(F187="","",IF(G187="","",IF(G187&lt;F187,"Pago atrasado",IF(Tabela1[[#This Row],[Data do Pagamento / Compra]]&gt;Tabela1[[#This Row],[Data de Compra]],"Pago","Pago")))))</f>
        <v>Pago</v>
      </c>
    </row>
    <row r="188" spans="1:10" ht="21" hidden="1" customHeight="1" x14ac:dyDescent="0.2">
      <c r="A188" s="33" t="s">
        <v>119</v>
      </c>
      <c r="B188" s="34" t="s">
        <v>41</v>
      </c>
      <c r="C188" s="34" t="s">
        <v>41</v>
      </c>
      <c r="D188" s="34" t="s">
        <v>15</v>
      </c>
      <c r="E188" s="35">
        <v>100</v>
      </c>
      <c r="F188" s="36">
        <v>45343</v>
      </c>
      <c r="G188" s="36">
        <v>45343</v>
      </c>
      <c r="H188" s="37" t="str">
        <f>IFERROR(VLOOKUP(Tabela1[[#This Row],[Tag]],TAGS!$J$1:$K$11,2,0),"")</f>
        <v>Investimento</v>
      </c>
      <c r="I188" s="38" t="str">
        <f t="shared" si="2"/>
        <v>fevereiro</v>
      </c>
      <c r="J188" s="39" t="str">
        <f>IF(Tabela1[[#This Row],[Caixa]]="Receita","Recebido",IF(F188="","",IF(G188="","",IF(G188&lt;F188,"Pago atrasado",IF(Tabela1[[#This Row],[Data do Pagamento / Compra]]&gt;Tabela1[[#This Row],[Data de Compra]],"Pago","Pago")))))</f>
        <v>Pago</v>
      </c>
    </row>
    <row r="189" spans="1:10" ht="21" hidden="1" customHeight="1" x14ac:dyDescent="0.2">
      <c r="A189" s="33" t="s">
        <v>117</v>
      </c>
      <c r="B189" s="34" t="s">
        <v>29</v>
      </c>
      <c r="C189" s="34" t="s">
        <v>18</v>
      </c>
      <c r="D189" s="34" t="s">
        <v>15</v>
      </c>
      <c r="E189" s="35">
        <v>150</v>
      </c>
      <c r="F189" s="36">
        <v>45345</v>
      </c>
      <c r="G189" s="36">
        <v>45345</v>
      </c>
      <c r="H189" s="37" t="str">
        <f>IFERROR(VLOOKUP(Tabela1[[#This Row],[Tag]],TAGS!$J$1:$K$11,2,0),"")</f>
        <v>Não essencial</v>
      </c>
      <c r="I189" s="38" t="str">
        <f t="shared" si="2"/>
        <v>fevereiro</v>
      </c>
      <c r="J189" s="39" t="str">
        <f>IF(Tabela1[[#This Row],[Caixa]]="Receita","Recebido",IF(F189="","",IF(G189="","",IF(G189&lt;F189,"Pago atrasado",IF(Tabela1[[#This Row],[Data do Pagamento / Compra]]&gt;Tabela1[[#This Row],[Data de Compra]],"Pago","Pago")))))</f>
        <v>Pago</v>
      </c>
    </row>
    <row r="190" spans="1:10" ht="21" hidden="1" customHeight="1" x14ac:dyDescent="0.2">
      <c r="A190" s="33" t="s">
        <v>118</v>
      </c>
      <c r="B190" s="34" t="s">
        <v>29</v>
      </c>
      <c r="C190" s="34" t="s">
        <v>20</v>
      </c>
      <c r="D190" s="34" t="s">
        <v>15</v>
      </c>
      <c r="E190" s="35">
        <v>413.75</v>
      </c>
      <c r="F190" s="36">
        <v>45345</v>
      </c>
      <c r="G190" s="36">
        <v>45345</v>
      </c>
      <c r="H190" s="37" t="str">
        <f>IFERROR(VLOOKUP(Tabela1[[#This Row],[Tag]],TAGS!$J$1:$K$11,2,0),"")</f>
        <v>Essencial</v>
      </c>
      <c r="I190" s="38" t="str">
        <f t="shared" si="2"/>
        <v>fevereiro</v>
      </c>
      <c r="J190" s="39" t="str">
        <f>IF(Tabela1[[#This Row],[Caixa]]="Receita","Recebido",IF(F190="","",IF(G190="","",IF(G190&lt;F190,"Pago atrasado",IF(Tabela1[[#This Row],[Data do Pagamento / Compra]]&gt;Tabela1[[#This Row],[Data de Compra]],"Pago","Pago")))))</f>
        <v>Pago</v>
      </c>
    </row>
    <row r="191" spans="1:10" ht="21" hidden="1" customHeight="1" x14ac:dyDescent="0.2">
      <c r="A191" s="33" t="s">
        <v>119</v>
      </c>
      <c r="B191" s="34" t="s">
        <v>41</v>
      </c>
      <c r="C191" s="34" t="s">
        <v>41</v>
      </c>
      <c r="D191" s="34" t="s">
        <v>15</v>
      </c>
      <c r="E191" s="35">
        <v>220</v>
      </c>
      <c r="F191" s="36">
        <v>45345</v>
      </c>
      <c r="G191" s="36">
        <v>45345</v>
      </c>
      <c r="H191" s="37" t="str">
        <f>IFERROR(VLOOKUP(Tabela1[[#This Row],[Tag]],TAGS!$J$1:$K$11,2,0),"")</f>
        <v>Investimento</v>
      </c>
      <c r="I191" s="38" t="str">
        <f t="shared" si="2"/>
        <v>fevereiro</v>
      </c>
      <c r="J191" s="39" t="str">
        <f>IF(Tabela1[[#This Row],[Caixa]]="Receita","Recebido",IF(F191="","",IF(G191="","",IF(G191&lt;F191,"Pago atrasado",IF(Tabela1[[#This Row],[Data do Pagamento / Compra]]&gt;Tabela1[[#This Row],[Data de Compra]],"Pago","Pago")))))</f>
        <v>Pago</v>
      </c>
    </row>
    <row r="192" spans="1:10" ht="21" hidden="1" customHeight="1" x14ac:dyDescent="0.2">
      <c r="A192" s="33" t="s">
        <v>122</v>
      </c>
      <c r="B192" s="34" t="s">
        <v>28</v>
      </c>
      <c r="C192" s="34" t="s">
        <v>31</v>
      </c>
      <c r="D192" s="34" t="s">
        <v>33</v>
      </c>
      <c r="E192" s="35">
        <v>1092.6500000000001</v>
      </c>
      <c r="F192" s="36">
        <v>45345</v>
      </c>
      <c r="G192" s="36">
        <v>45345</v>
      </c>
      <c r="H192" s="37" t="str">
        <f>IFERROR(VLOOKUP(Tabela1[[#This Row],[Tag]],TAGS!$J$1:$K$11,2,0),"")</f>
        <v>Receita</v>
      </c>
      <c r="I192" s="38" t="str">
        <f t="shared" si="2"/>
        <v>fevereiro</v>
      </c>
      <c r="J192" s="39" t="str">
        <f>IF(Tabela1[[#This Row],[Caixa]]="Receita","Recebido",IF(F192="","",IF(G192="","",IF(G192&lt;F192,"Pago atrasado",IF(Tabela1[[#This Row],[Data do Pagamento / Compra]]&gt;Tabela1[[#This Row],[Data de Compra]],"Pago","Pago")))))</f>
        <v>Recebido</v>
      </c>
    </row>
    <row r="193" spans="1:10" ht="21" hidden="1" customHeight="1" x14ac:dyDescent="0.2">
      <c r="A193" s="33" t="s">
        <v>81</v>
      </c>
      <c r="B193" s="34" t="s">
        <v>29</v>
      </c>
      <c r="C193" s="34" t="s">
        <v>13</v>
      </c>
      <c r="D193" s="34" t="s">
        <v>15</v>
      </c>
      <c r="E193" s="35">
        <v>19.41</v>
      </c>
      <c r="F193" s="36">
        <v>45345</v>
      </c>
      <c r="G193" s="36">
        <v>45345</v>
      </c>
      <c r="H193" s="37" t="str">
        <f>IFERROR(VLOOKUP(Tabela1[[#This Row],[Tag]],TAGS!$J$1:$K$11,2,0),"")</f>
        <v>Essencial</v>
      </c>
      <c r="I193" s="38" t="str">
        <f t="shared" si="2"/>
        <v>fevereiro</v>
      </c>
      <c r="J193" s="39" t="str">
        <f>IF(Tabela1[[#This Row],[Caixa]]="Receita","Recebido",IF(F193="","",IF(G193="","",IF(G193&lt;F193,"Pago atrasado",IF(Tabela1[[#This Row],[Data do Pagamento / Compra]]&gt;Tabela1[[#This Row],[Data de Compra]],"Pago","Pago")))))</f>
        <v>Pago</v>
      </c>
    </row>
    <row r="194" spans="1:10" ht="21" hidden="1" customHeight="1" x14ac:dyDescent="0.2">
      <c r="A194" s="33" t="s">
        <v>81</v>
      </c>
      <c r="B194" s="34" t="s">
        <v>29</v>
      </c>
      <c r="C194" s="34" t="s">
        <v>13</v>
      </c>
      <c r="D194" s="34" t="s">
        <v>15</v>
      </c>
      <c r="E194" s="35">
        <v>16.2</v>
      </c>
      <c r="F194" s="36">
        <v>45345</v>
      </c>
      <c r="G194" s="36">
        <v>45345</v>
      </c>
      <c r="H194" s="37" t="str">
        <f>IFERROR(VLOOKUP(Tabela1[[#This Row],[Tag]],TAGS!$J$1:$K$11,2,0),"")</f>
        <v>Essencial</v>
      </c>
      <c r="I194" s="38" t="str">
        <f t="shared" si="2"/>
        <v>fevereiro</v>
      </c>
      <c r="J194" s="39" t="str">
        <f>IF(Tabela1[[#This Row],[Caixa]]="Receita","Recebido",IF(F194="","",IF(G194="","",IF(G194&lt;F194,"Pago atrasado",IF(Tabela1[[#This Row],[Data do Pagamento / Compra]]&gt;Tabela1[[#This Row],[Data de Compra]],"Pago","Pago")))))</f>
        <v>Pago</v>
      </c>
    </row>
    <row r="195" spans="1:10" ht="21" hidden="1" customHeight="1" x14ac:dyDescent="0.2">
      <c r="A195" s="33" t="s">
        <v>120</v>
      </c>
      <c r="B195" s="34" t="s">
        <v>29</v>
      </c>
      <c r="C195" s="34" t="s">
        <v>14</v>
      </c>
      <c r="D195" s="34" t="s">
        <v>15</v>
      </c>
      <c r="E195" s="35">
        <v>14</v>
      </c>
      <c r="F195" s="36">
        <v>45345</v>
      </c>
      <c r="G195" s="36">
        <v>45345</v>
      </c>
      <c r="H195" s="37" t="str">
        <f>IFERROR(VLOOKUP(Tabela1[[#This Row],[Tag]],TAGS!$J$1:$K$11,2,0),"")</f>
        <v>Não essencial</v>
      </c>
      <c r="I195" s="38" t="str">
        <f t="shared" si="2"/>
        <v>fevereiro</v>
      </c>
      <c r="J195" s="39" t="str">
        <f>IF(Tabela1[[#This Row],[Caixa]]="Receita","Recebido",IF(F195="","",IF(G195="","",IF(G195&lt;F195,"Pago atrasado",IF(Tabela1[[#This Row],[Data do Pagamento / Compra]]&gt;Tabela1[[#This Row],[Data de Compra]],"Pago","Pago")))))</f>
        <v>Pago</v>
      </c>
    </row>
    <row r="196" spans="1:10" ht="21" hidden="1" customHeight="1" x14ac:dyDescent="0.2">
      <c r="A196" s="33" t="s">
        <v>85</v>
      </c>
      <c r="B196" s="34" t="s">
        <v>29</v>
      </c>
      <c r="C196" s="34" t="s">
        <v>14</v>
      </c>
      <c r="D196" s="34" t="s">
        <v>15</v>
      </c>
      <c r="E196" s="35">
        <v>5</v>
      </c>
      <c r="F196" s="36">
        <v>45345</v>
      </c>
      <c r="G196" s="36">
        <v>45345</v>
      </c>
      <c r="H196" s="37" t="str">
        <f>IFERROR(VLOOKUP(Tabela1[[#This Row],[Tag]],TAGS!$J$1:$K$11,2,0),"")</f>
        <v>Não essencial</v>
      </c>
      <c r="I196" s="38" t="str">
        <f t="shared" ref="I196:I259" si="3">IF(G196="","",TEXT(G196,"mmmm"))</f>
        <v>fevereiro</v>
      </c>
      <c r="J196" s="39" t="str">
        <f>IF(Tabela1[[#This Row],[Caixa]]="Receita","Recebido",IF(F196="","",IF(G196="","",IF(G196&lt;F196,"Pago atrasado",IF(Tabela1[[#This Row],[Data do Pagamento / Compra]]&gt;Tabela1[[#This Row],[Data de Compra]],"Pago","Pago")))))</f>
        <v>Pago</v>
      </c>
    </row>
    <row r="197" spans="1:10" ht="21" hidden="1" customHeight="1" x14ac:dyDescent="0.2">
      <c r="A197" s="33" t="s">
        <v>121</v>
      </c>
      <c r="B197" s="34" t="s">
        <v>29</v>
      </c>
      <c r="C197" s="34" t="s">
        <v>14</v>
      </c>
      <c r="D197" s="34" t="s">
        <v>15</v>
      </c>
      <c r="E197" s="35">
        <v>13.5</v>
      </c>
      <c r="F197" s="36">
        <v>45345</v>
      </c>
      <c r="G197" s="36">
        <v>45345</v>
      </c>
      <c r="H197" s="37" t="str">
        <f>IFERROR(VLOOKUP(Tabela1[[#This Row],[Tag]],TAGS!$J$1:$K$11,2,0),"")</f>
        <v>Não essencial</v>
      </c>
      <c r="I197" s="38" t="str">
        <f t="shared" si="3"/>
        <v>fevereiro</v>
      </c>
      <c r="J197" s="39" t="str">
        <f>IF(Tabela1[[#This Row],[Caixa]]="Receita","Recebido",IF(F197="","",IF(G197="","",IF(G197&lt;F197,"Pago atrasado",IF(Tabela1[[#This Row],[Data do Pagamento / Compra]]&gt;Tabela1[[#This Row],[Data de Compra]],"Pago","Pago")))))</f>
        <v>Pago</v>
      </c>
    </row>
    <row r="198" spans="1:10" ht="21" hidden="1" customHeight="1" x14ac:dyDescent="0.2">
      <c r="A198" s="33" t="s">
        <v>22</v>
      </c>
      <c r="B198" s="34" t="s">
        <v>29</v>
      </c>
      <c r="C198" s="34" t="s">
        <v>20</v>
      </c>
      <c r="D198" s="34" t="s">
        <v>15</v>
      </c>
      <c r="E198" s="35">
        <v>251</v>
      </c>
      <c r="F198" s="36">
        <v>45346</v>
      </c>
      <c r="G198" s="36">
        <v>45346</v>
      </c>
      <c r="H198" s="37" t="str">
        <f>IFERROR(VLOOKUP(Tabela1[[#This Row],[Tag]],TAGS!$J$1:$K$11,2,0),"")</f>
        <v>Essencial</v>
      </c>
      <c r="I198" s="38" t="str">
        <f t="shared" si="3"/>
        <v>fevereiro</v>
      </c>
      <c r="J198" s="39" t="str">
        <f>IF(Tabela1[[#This Row],[Caixa]]="Receita","Recebido",IF(F198="","",IF(G198="","",IF(G198&lt;F198,"Pago atrasado",IF(Tabela1[[#This Row],[Data do Pagamento / Compra]]&gt;Tabela1[[#This Row],[Data de Compra]],"Pago","Pago")))))</f>
        <v>Pago</v>
      </c>
    </row>
    <row r="199" spans="1:10" ht="21" hidden="1" customHeight="1" x14ac:dyDescent="0.2">
      <c r="A199" s="33" t="s">
        <v>74</v>
      </c>
      <c r="B199" s="34" t="s">
        <v>29</v>
      </c>
      <c r="C199" s="34" t="s">
        <v>21</v>
      </c>
      <c r="D199" s="34" t="s">
        <v>15</v>
      </c>
      <c r="E199" s="35">
        <v>57</v>
      </c>
      <c r="F199" s="36">
        <v>45346</v>
      </c>
      <c r="G199" s="36">
        <v>45346</v>
      </c>
      <c r="H199" s="37" t="str">
        <f>IFERROR(VLOOKUP(Tabela1[[#This Row],[Tag]],TAGS!$J$1:$K$11,2,0),"")</f>
        <v>Não essencial</v>
      </c>
      <c r="I199" s="38" t="str">
        <f t="shared" si="3"/>
        <v>fevereiro</v>
      </c>
      <c r="J199" s="39" t="str">
        <f>IF(Tabela1[[#This Row],[Caixa]]="Receita","Recebido",IF(F199="","",IF(G199="","",IF(G199&lt;F199,"Pago atrasado",IF(Tabela1[[#This Row],[Data do Pagamento / Compra]]&gt;Tabela1[[#This Row],[Data de Compra]],"Pago","Pago")))))</f>
        <v>Pago</v>
      </c>
    </row>
    <row r="200" spans="1:10" ht="21" hidden="1" customHeight="1" x14ac:dyDescent="0.2">
      <c r="A200" s="33" t="s">
        <v>81</v>
      </c>
      <c r="B200" s="34" t="s">
        <v>29</v>
      </c>
      <c r="C200" s="34" t="s">
        <v>13</v>
      </c>
      <c r="D200" s="34" t="s">
        <v>15</v>
      </c>
      <c r="E200" s="35">
        <v>10</v>
      </c>
      <c r="F200" s="36">
        <v>45347</v>
      </c>
      <c r="G200" s="36">
        <v>45347</v>
      </c>
      <c r="H200" s="37" t="str">
        <f>IFERROR(VLOOKUP(Tabela1[[#This Row],[Tag]],TAGS!$J$1:$K$11,2,0),"")</f>
        <v>Essencial</v>
      </c>
      <c r="I200" s="38" t="str">
        <f t="shared" si="3"/>
        <v>fevereiro</v>
      </c>
      <c r="J200" s="39" t="str">
        <f>IF(Tabela1[[#This Row],[Caixa]]="Receita","Recebido",IF(F200="","",IF(G200="","",IF(G200&lt;F200,"Pago atrasado",IF(Tabela1[[#This Row],[Data do Pagamento / Compra]]&gt;Tabela1[[#This Row],[Data de Compra]],"Pago","Pago")))))</f>
        <v>Pago</v>
      </c>
    </row>
    <row r="201" spans="1:10" ht="21" hidden="1" customHeight="1" x14ac:dyDescent="0.2">
      <c r="A201" s="33" t="s">
        <v>81</v>
      </c>
      <c r="B201" s="34" t="s">
        <v>29</v>
      </c>
      <c r="C201" s="34" t="s">
        <v>13</v>
      </c>
      <c r="D201" s="34" t="s">
        <v>15</v>
      </c>
      <c r="E201" s="35">
        <v>17</v>
      </c>
      <c r="F201" s="36">
        <v>45347</v>
      </c>
      <c r="G201" s="36">
        <v>45347</v>
      </c>
      <c r="H201" s="37" t="str">
        <f>IFERROR(VLOOKUP(Tabela1[[#This Row],[Tag]],TAGS!$J$1:$K$11,2,0),"")</f>
        <v>Essencial</v>
      </c>
      <c r="I201" s="38" t="str">
        <f t="shared" si="3"/>
        <v>fevereiro</v>
      </c>
      <c r="J201" s="39" t="str">
        <f>IF(Tabela1[[#This Row],[Caixa]]="Receita","Recebido",IF(F201="","",IF(G201="","",IF(G201&lt;F201,"Pago atrasado",IF(Tabela1[[#This Row],[Data do Pagamento / Compra]]&gt;Tabela1[[#This Row],[Data de Compra]],"Pago","Pago")))))</f>
        <v>Pago</v>
      </c>
    </row>
    <row r="202" spans="1:10" ht="21" hidden="1" customHeight="1" x14ac:dyDescent="0.2">
      <c r="A202" s="33" t="s">
        <v>55</v>
      </c>
      <c r="B202" s="34" t="s">
        <v>29</v>
      </c>
      <c r="C202" s="34" t="s">
        <v>14</v>
      </c>
      <c r="D202" s="34" t="s">
        <v>15</v>
      </c>
      <c r="E202" s="35">
        <v>9.98</v>
      </c>
      <c r="F202" s="36">
        <v>45348</v>
      </c>
      <c r="G202" s="36">
        <v>45348</v>
      </c>
      <c r="H202" s="37" t="str">
        <f>IFERROR(VLOOKUP(Tabela1[[#This Row],[Tag]],TAGS!$J$1:$K$11,2,0),"")</f>
        <v>Não essencial</v>
      </c>
      <c r="I202" s="38" t="str">
        <f t="shared" si="3"/>
        <v>fevereiro</v>
      </c>
      <c r="J202" s="39" t="str">
        <f>IF(Tabela1[[#This Row],[Caixa]]="Receita","Recebido",IF(F202="","",IF(G202="","",IF(G202&lt;F202,"Pago atrasado",IF(Tabela1[[#This Row],[Data do Pagamento / Compra]]&gt;Tabela1[[#This Row],[Data de Compra]],"Pago","Pago")))))</f>
        <v>Pago</v>
      </c>
    </row>
    <row r="203" spans="1:10" ht="21" hidden="1" customHeight="1" x14ac:dyDescent="0.2">
      <c r="A203" s="33" t="s">
        <v>81</v>
      </c>
      <c r="B203" s="34" t="s">
        <v>29</v>
      </c>
      <c r="C203" s="34" t="s">
        <v>13</v>
      </c>
      <c r="D203" s="34" t="s">
        <v>15</v>
      </c>
      <c r="E203" s="35">
        <v>10.53</v>
      </c>
      <c r="F203" s="36">
        <v>45348</v>
      </c>
      <c r="G203" s="36">
        <v>45348</v>
      </c>
      <c r="H203" s="37" t="str">
        <f>IFERROR(VLOOKUP(Tabela1[[#This Row],[Tag]],TAGS!$J$1:$K$11,2,0),"")</f>
        <v>Essencial</v>
      </c>
      <c r="I203" s="38" t="str">
        <f t="shared" si="3"/>
        <v>fevereiro</v>
      </c>
      <c r="J203" s="39" t="str">
        <f>IF(Tabela1[[#This Row],[Caixa]]="Receita","Recebido",IF(F203="","",IF(G203="","",IF(G203&lt;F203,"Pago atrasado",IF(Tabela1[[#This Row],[Data do Pagamento / Compra]]&gt;Tabela1[[#This Row],[Data de Compra]],"Pago","Pago")))))</f>
        <v>Pago</v>
      </c>
    </row>
    <row r="204" spans="1:10" ht="21" hidden="1" customHeight="1" x14ac:dyDescent="0.2">
      <c r="A204" s="33" t="s">
        <v>81</v>
      </c>
      <c r="B204" s="34" t="s">
        <v>29</v>
      </c>
      <c r="C204" s="34" t="s">
        <v>13</v>
      </c>
      <c r="D204" s="34" t="s">
        <v>15</v>
      </c>
      <c r="E204" s="35">
        <v>17.8</v>
      </c>
      <c r="F204" s="36">
        <v>45348</v>
      </c>
      <c r="G204" s="36">
        <v>45348</v>
      </c>
      <c r="H204" s="37" t="str">
        <f>IFERROR(VLOOKUP(Tabela1[[#This Row],[Tag]],TAGS!$J$1:$K$11,2,0),"")</f>
        <v>Essencial</v>
      </c>
      <c r="I204" s="38" t="str">
        <f t="shared" si="3"/>
        <v>fevereiro</v>
      </c>
      <c r="J204" s="39" t="str">
        <f>IF(Tabela1[[#This Row],[Caixa]]="Receita","Recebido",IF(F204="","",IF(G204="","",IF(G204&lt;F204,"Pago atrasado",IF(Tabela1[[#This Row],[Data do Pagamento / Compra]]&gt;Tabela1[[#This Row],[Data de Compra]],"Pago","Pago")))))</f>
        <v>Pago</v>
      </c>
    </row>
    <row r="205" spans="1:10" ht="21" hidden="1" customHeight="1" x14ac:dyDescent="0.2">
      <c r="A205" s="33" t="s">
        <v>81</v>
      </c>
      <c r="B205" s="34" t="s">
        <v>29</v>
      </c>
      <c r="C205" s="34" t="s">
        <v>13</v>
      </c>
      <c r="D205" s="34" t="s">
        <v>15</v>
      </c>
      <c r="E205" s="35">
        <v>15</v>
      </c>
      <c r="F205" s="36">
        <v>45348</v>
      </c>
      <c r="G205" s="36">
        <v>45348</v>
      </c>
      <c r="H205" s="37" t="str">
        <f>IFERROR(VLOOKUP(Tabela1[[#This Row],[Tag]],TAGS!$J$1:$K$11,2,0),"")</f>
        <v>Essencial</v>
      </c>
      <c r="I205" s="38" t="str">
        <f t="shared" si="3"/>
        <v>fevereiro</v>
      </c>
      <c r="J205" s="39" t="str">
        <f>IF(Tabela1[[#This Row],[Caixa]]="Receita","Recebido",IF(F205="","",IF(G205="","",IF(G205&lt;F205,"Pago atrasado",IF(Tabela1[[#This Row],[Data do Pagamento / Compra]]&gt;Tabela1[[#This Row],[Data de Compra]],"Pago","Pago")))))</f>
        <v>Pago</v>
      </c>
    </row>
    <row r="206" spans="1:10" ht="21" hidden="1" customHeight="1" x14ac:dyDescent="0.2">
      <c r="A206" s="33" t="s">
        <v>81</v>
      </c>
      <c r="B206" s="34" t="s">
        <v>29</v>
      </c>
      <c r="C206" s="34" t="s">
        <v>13</v>
      </c>
      <c r="D206" s="34" t="s">
        <v>15</v>
      </c>
      <c r="E206" s="35">
        <v>12</v>
      </c>
      <c r="F206" s="36">
        <v>45348</v>
      </c>
      <c r="G206" s="36">
        <v>45348</v>
      </c>
      <c r="H206" s="37" t="str">
        <f>IFERROR(VLOOKUP(Tabela1[[#This Row],[Tag]],TAGS!$J$1:$K$11,2,0),"")</f>
        <v>Essencial</v>
      </c>
      <c r="I206" s="38" t="str">
        <f t="shared" si="3"/>
        <v>fevereiro</v>
      </c>
      <c r="J206" s="39" t="str">
        <f>IF(Tabela1[[#This Row],[Caixa]]="Receita","Recebido",IF(F206="","",IF(G206="","",IF(G206&lt;F206,"Pago atrasado",IF(Tabela1[[#This Row],[Data do Pagamento / Compra]]&gt;Tabela1[[#This Row],[Data de Compra]],"Pago","Pago")))))</f>
        <v>Pago</v>
      </c>
    </row>
    <row r="207" spans="1:10" ht="21" hidden="1" customHeight="1" x14ac:dyDescent="0.2">
      <c r="A207" s="33" t="s">
        <v>123</v>
      </c>
      <c r="B207" s="34" t="s">
        <v>29</v>
      </c>
      <c r="C207" s="34" t="s">
        <v>14</v>
      </c>
      <c r="D207" s="34" t="s">
        <v>15</v>
      </c>
      <c r="E207" s="35">
        <v>57.98</v>
      </c>
      <c r="F207" s="36">
        <v>45348</v>
      </c>
      <c r="G207" s="36">
        <v>45348</v>
      </c>
      <c r="H207" s="37" t="str">
        <f>IFERROR(VLOOKUP(Tabela1[[#This Row],[Tag]],TAGS!$J$1:$K$11,2,0),"")</f>
        <v>Não essencial</v>
      </c>
      <c r="I207" s="38" t="str">
        <f t="shared" si="3"/>
        <v>fevereiro</v>
      </c>
      <c r="J207" s="39" t="str">
        <f>IF(Tabela1[[#This Row],[Caixa]]="Receita","Recebido",IF(F207="","",IF(G207="","",IF(G207&lt;F207,"Pago atrasado",IF(Tabela1[[#This Row],[Data do Pagamento / Compra]]&gt;Tabela1[[#This Row],[Data de Compra]],"Pago","Pago")))))</f>
        <v>Pago</v>
      </c>
    </row>
    <row r="208" spans="1:10" ht="21" hidden="1" customHeight="1" x14ac:dyDescent="0.2">
      <c r="A208" s="33" t="s">
        <v>81</v>
      </c>
      <c r="B208" s="34" t="s">
        <v>29</v>
      </c>
      <c r="C208" s="34" t="s">
        <v>13</v>
      </c>
      <c r="D208" s="34" t="s">
        <v>15</v>
      </c>
      <c r="E208" s="35">
        <v>11.7</v>
      </c>
      <c r="F208" s="36">
        <v>45349</v>
      </c>
      <c r="G208" s="36">
        <v>45349</v>
      </c>
      <c r="H208" s="37" t="str">
        <f>IFERROR(VLOOKUP(Tabela1[[#This Row],[Tag]],TAGS!$J$1:$K$11,2,0),"")</f>
        <v>Essencial</v>
      </c>
      <c r="I208" s="38" t="str">
        <f t="shared" si="3"/>
        <v>fevereiro</v>
      </c>
      <c r="J208" s="39" t="str">
        <f>IF(Tabela1[[#This Row],[Caixa]]="Receita","Recebido",IF(F208="","",IF(G208="","",IF(G208&lt;F208,"Pago atrasado",IF(Tabela1[[#This Row],[Data do Pagamento / Compra]]&gt;Tabela1[[#This Row],[Data de Compra]],"Pago","Pago")))))</f>
        <v>Pago</v>
      </c>
    </row>
    <row r="209" spans="1:10" ht="21" customHeight="1" x14ac:dyDescent="0.2">
      <c r="A209" s="33" t="s">
        <v>124</v>
      </c>
      <c r="B209" s="34" t="s">
        <v>29</v>
      </c>
      <c r="C209" s="34" t="s">
        <v>12</v>
      </c>
      <c r="D209" s="34" t="s">
        <v>15</v>
      </c>
      <c r="E209" s="35">
        <v>58.57</v>
      </c>
      <c r="F209" s="36">
        <v>45349</v>
      </c>
      <c r="G209" s="36">
        <v>45349</v>
      </c>
      <c r="H209" s="37" t="str">
        <f>IFERROR(VLOOKUP(Tabela1[[#This Row],[Tag]],TAGS!$J$1:$K$11,2,0),"")</f>
        <v>Essencial</v>
      </c>
      <c r="I209" s="38" t="str">
        <f t="shared" si="3"/>
        <v>fevereiro</v>
      </c>
      <c r="J209" s="39" t="str">
        <f>IF(Tabela1[[#This Row],[Caixa]]="Receita","Recebido",IF(F209="","",IF(G209="","",IF(G209&lt;F209,"Pago atrasado",IF(Tabela1[[#This Row],[Data do Pagamento / Compra]]&gt;Tabela1[[#This Row],[Data de Compra]],"Pago","Pago")))))</f>
        <v>Pago</v>
      </c>
    </row>
    <row r="210" spans="1:10" ht="21" hidden="1" customHeight="1" x14ac:dyDescent="0.2">
      <c r="A210" s="33" t="s">
        <v>81</v>
      </c>
      <c r="B210" s="34" t="s">
        <v>29</v>
      </c>
      <c r="C210" s="34" t="s">
        <v>13</v>
      </c>
      <c r="D210" s="34" t="s">
        <v>15</v>
      </c>
      <c r="E210" s="35">
        <v>9.27</v>
      </c>
      <c r="F210" s="36">
        <v>45349</v>
      </c>
      <c r="G210" s="36">
        <v>45349</v>
      </c>
      <c r="H210" s="37" t="str">
        <f>IFERROR(VLOOKUP(Tabela1[[#This Row],[Tag]],TAGS!$J$1:$K$11,2,0),"")</f>
        <v>Essencial</v>
      </c>
      <c r="I210" s="38" t="str">
        <f t="shared" si="3"/>
        <v>fevereiro</v>
      </c>
      <c r="J210" s="39" t="str">
        <f>IF(Tabela1[[#This Row],[Caixa]]="Receita","Recebido",IF(F210="","",IF(G210="","",IF(G210&lt;F210,"Pago atrasado",IF(Tabela1[[#This Row],[Data do Pagamento / Compra]]&gt;Tabela1[[#This Row],[Data de Compra]],"Pago","Pago")))))</f>
        <v>Pago</v>
      </c>
    </row>
    <row r="211" spans="1:10" ht="21" hidden="1" customHeight="1" x14ac:dyDescent="0.2">
      <c r="A211" s="33" t="s">
        <v>81</v>
      </c>
      <c r="B211" s="34" t="s">
        <v>29</v>
      </c>
      <c r="C211" s="34" t="s">
        <v>13</v>
      </c>
      <c r="D211" s="34" t="s">
        <v>15</v>
      </c>
      <c r="E211" s="35">
        <v>6.9329999999999998</v>
      </c>
      <c r="F211" s="36">
        <v>45349</v>
      </c>
      <c r="G211" s="36">
        <v>45349</v>
      </c>
      <c r="H211" s="37" t="str">
        <f>IFERROR(VLOOKUP(Tabela1[[#This Row],[Tag]],TAGS!$J$1:$K$11,2,0),"")</f>
        <v>Essencial</v>
      </c>
      <c r="I211" s="38" t="str">
        <f t="shared" si="3"/>
        <v>fevereiro</v>
      </c>
      <c r="J211" s="39" t="str">
        <f>IF(Tabela1[[#This Row],[Caixa]]="Receita","Recebido",IF(F211="","",IF(G211="","",IF(G211&lt;F211,"Pago atrasado",IF(Tabela1[[#This Row],[Data do Pagamento / Compra]]&gt;Tabela1[[#This Row],[Data de Compra]],"Pago","Pago")))))</f>
        <v>Pago</v>
      </c>
    </row>
    <row r="212" spans="1:10" ht="21" hidden="1" customHeight="1" x14ac:dyDescent="0.2">
      <c r="A212" s="33" t="s">
        <v>81</v>
      </c>
      <c r="B212" s="34" t="s">
        <v>29</v>
      </c>
      <c r="C212" s="34" t="s">
        <v>13</v>
      </c>
      <c r="D212" s="34" t="s">
        <v>15</v>
      </c>
      <c r="E212" s="35">
        <v>16.329999999999998</v>
      </c>
      <c r="F212" s="36">
        <v>45350</v>
      </c>
      <c r="G212" s="36">
        <v>45350</v>
      </c>
      <c r="H212" s="37" t="str">
        <f>IFERROR(VLOOKUP(Tabela1[[#This Row],[Tag]],TAGS!$J$1:$K$11,2,0),"")</f>
        <v>Essencial</v>
      </c>
      <c r="I212" s="38" t="str">
        <f t="shared" si="3"/>
        <v>fevereiro</v>
      </c>
      <c r="J212" s="39" t="str">
        <f>IF(Tabela1[[#This Row],[Caixa]]="Receita","Recebido",IF(F212="","",IF(G212="","",IF(G212&lt;F212,"Pago atrasado",IF(Tabela1[[#This Row],[Data do Pagamento / Compra]]&gt;Tabela1[[#This Row],[Data de Compra]],"Pago","Pago")))))</f>
        <v>Pago</v>
      </c>
    </row>
    <row r="213" spans="1:10" ht="21" hidden="1" customHeight="1" x14ac:dyDescent="0.2">
      <c r="A213" s="33" t="s">
        <v>81</v>
      </c>
      <c r="B213" s="34" t="s">
        <v>29</v>
      </c>
      <c r="C213" s="34" t="s">
        <v>13</v>
      </c>
      <c r="D213" s="34" t="s">
        <v>15</v>
      </c>
      <c r="E213" s="35">
        <v>14.803000000000001</v>
      </c>
      <c r="F213" s="36">
        <v>45350</v>
      </c>
      <c r="G213" s="36">
        <v>45350</v>
      </c>
      <c r="H213" s="37" t="str">
        <f>IFERROR(VLOOKUP(Tabela1[[#This Row],[Tag]],TAGS!$J$1:$K$11,2,0),"")</f>
        <v>Essencial</v>
      </c>
      <c r="I213" s="38" t="str">
        <f t="shared" si="3"/>
        <v>fevereiro</v>
      </c>
      <c r="J213" s="39" t="str">
        <f>IF(Tabela1[[#This Row],[Caixa]]="Receita","Recebido",IF(F213="","",IF(G213="","",IF(G213&lt;F213,"Pago atrasado",IF(Tabela1[[#This Row],[Data do Pagamento / Compra]]&gt;Tabela1[[#This Row],[Data de Compra]],"Pago","Pago")))))</f>
        <v>Pago</v>
      </c>
    </row>
    <row r="214" spans="1:10" ht="21" hidden="1" customHeight="1" x14ac:dyDescent="0.2">
      <c r="A214" s="33" t="s">
        <v>125</v>
      </c>
      <c r="B214" s="34" t="s">
        <v>29</v>
      </c>
      <c r="C214" s="34" t="s">
        <v>47</v>
      </c>
      <c r="D214" s="34" t="s">
        <v>15</v>
      </c>
      <c r="E214" s="35">
        <v>10.35</v>
      </c>
      <c r="F214" s="36">
        <v>45350</v>
      </c>
      <c r="G214" s="36">
        <v>45350</v>
      </c>
      <c r="H214" s="37" t="str">
        <f>IFERROR(VLOOKUP(Tabela1[[#This Row],[Tag]],TAGS!$J$1:$K$11,2,0),"")</f>
        <v>Essencial</v>
      </c>
      <c r="I214" s="38" t="str">
        <f t="shared" si="3"/>
        <v>fevereiro</v>
      </c>
      <c r="J214" s="39" t="str">
        <f>IF(Tabela1[[#This Row],[Caixa]]="Receita","Recebido",IF(F214="","",IF(G214="","",IF(G214&lt;F214,"Pago atrasado",IF(Tabela1[[#This Row],[Data do Pagamento / Compra]]&gt;Tabela1[[#This Row],[Data de Compra]],"Pago","Pago")))))</f>
        <v>Pago</v>
      </c>
    </row>
    <row r="215" spans="1:10" ht="21" hidden="1" customHeight="1" x14ac:dyDescent="0.2">
      <c r="A215" s="33" t="s">
        <v>81</v>
      </c>
      <c r="B215" s="34" t="s">
        <v>29</v>
      </c>
      <c r="C215" s="34" t="s">
        <v>13</v>
      </c>
      <c r="D215" s="34" t="s">
        <v>15</v>
      </c>
      <c r="E215" s="35">
        <v>17.73</v>
      </c>
      <c r="F215" s="36">
        <v>45350</v>
      </c>
      <c r="G215" s="36">
        <v>45350</v>
      </c>
      <c r="H215" s="37" t="str">
        <f>IFERROR(VLOOKUP(Tabela1[[#This Row],[Tag]],TAGS!$J$1:$K$11,2,0),"")</f>
        <v>Essencial</v>
      </c>
      <c r="I215" s="38" t="str">
        <f t="shared" si="3"/>
        <v>fevereiro</v>
      </c>
      <c r="J215" s="39" t="str">
        <f>IF(Tabela1[[#This Row],[Caixa]]="Receita","Recebido",IF(F215="","",IF(G215="","",IF(G215&lt;F215,"Pago atrasado",IF(Tabela1[[#This Row],[Data do Pagamento / Compra]]&gt;Tabela1[[#This Row],[Data de Compra]],"Pago","Pago")))))</f>
        <v>Pago</v>
      </c>
    </row>
    <row r="216" spans="1:10" ht="21" hidden="1" customHeight="1" x14ac:dyDescent="0.2">
      <c r="A216" s="33" t="s">
        <v>81</v>
      </c>
      <c r="B216" s="34" t="s">
        <v>29</v>
      </c>
      <c r="C216" s="34" t="s">
        <v>13</v>
      </c>
      <c r="D216" s="34" t="s">
        <v>15</v>
      </c>
      <c r="E216" s="35">
        <v>18.22</v>
      </c>
      <c r="F216" s="36">
        <v>45350</v>
      </c>
      <c r="G216" s="36">
        <v>45350</v>
      </c>
      <c r="H216" s="37" t="str">
        <f>IFERROR(VLOOKUP(Tabela1[[#This Row],[Tag]],TAGS!$J$1:$K$11,2,0),"")</f>
        <v>Essencial</v>
      </c>
      <c r="I216" s="38" t="str">
        <f t="shared" si="3"/>
        <v>fevereiro</v>
      </c>
      <c r="J216" s="39" t="str">
        <f>IF(Tabela1[[#This Row],[Caixa]]="Receita","Recebido",IF(F216="","",IF(G216="","",IF(G216&lt;F216,"Pago atrasado",IF(Tabela1[[#This Row],[Data do Pagamento / Compra]]&gt;Tabela1[[#This Row],[Data de Compra]],"Pago","Pago")))))</f>
        <v>Pago</v>
      </c>
    </row>
    <row r="217" spans="1:10" ht="21" hidden="1" customHeight="1" x14ac:dyDescent="0.2">
      <c r="A217" s="33" t="s">
        <v>81</v>
      </c>
      <c r="B217" s="34" t="s">
        <v>29</v>
      </c>
      <c r="C217" s="34" t="s">
        <v>13</v>
      </c>
      <c r="D217" s="34" t="s">
        <v>15</v>
      </c>
      <c r="E217" s="35">
        <v>18.34</v>
      </c>
      <c r="F217" s="36">
        <v>45352</v>
      </c>
      <c r="G217" s="36">
        <v>45352</v>
      </c>
      <c r="H217" s="37" t="str">
        <f>IFERROR(VLOOKUP(Tabela1[[#This Row],[Tag]],TAGS!$J$1:$K$11,2,0),"")</f>
        <v>Essencial</v>
      </c>
      <c r="I217" s="38" t="str">
        <f t="shared" si="3"/>
        <v>março</v>
      </c>
      <c r="J217" s="39" t="str">
        <f>IF(Tabela1[[#This Row],[Caixa]]="Receita","Recebido",IF(F217="","",IF(G217="","",IF(G217&lt;F217,"Pago atrasado",IF(Tabela1[[#This Row],[Data do Pagamento / Compra]]&gt;Tabela1[[#This Row],[Data de Compra]],"Pago","Pago")))))</f>
        <v>Pago</v>
      </c>
    </row>
    <row r="218" spans="1:10" ht="21" hidden="1" customHeight="1" x14ac:dyDescent="0.2">
      <c r="A218" s="33" t="s">
        <v>81</v>
      </c>
      <c r="B218" s="34" t="s">
        <v>29</v>
      </c>
      <c r="C218" s="34" t="s">
        <v>13</v>
      </c>
      <c r="D218" s="34" t="s">
        <v>15</v>
      </c>
      <c r="E218" s="35">
        <v>9.1</v>
      </c>
      <c r="F218" s="36">
        <v>45352</v>
      </c>
      <c r="G218" s="36">
        <v>45352</v>
      </c>
      <c r="H218" s="37" t="str">
        <f>IFERROR(VLOOKUP(Tabela1[[#This Row],[Tag]],TAGS!$J$1:$K$11,2,0),"")</f>
        <v>Essencial</v>
      </c>
      <c r="I218" s="38" t="str">
        <f t="shared" si="3"/>
        <v>março</v>
      </c>
      <c r="J218" s="39" t="str">
        <f>IF(Tabela1[[#This Row],[Caixa]]="Receita","Recebido",IF(F218="","",IF(G218="","",IF(G218&lt;F218,"Pago atrasado",IF(Tabela1[[#This Row],[Data do Pagamento / Compra]]&gt;Tabela1[[#This Row],[Data de Compra]],"Pago","Pago")))))</f>
        <v>Pago</v>
      </c>
    </row>
    <row r="219" spans="1:10" ht="21" hidden="1" customHeight="1" x14ac:dyDescent="0.2">
      <c r="A219" s="33" t="s">
        <v>126</v>
      </c>
      <c r="B219" s="34" t="s">
        <v>29</v>
      </c>
      <c r="C219" s="34" t="s">
        <v>12</v>
      </c>
      <c r="D219" s="34" t="s">
        <v>15</v>
      </c>
      <c r="E219" s="35">
        <v>5</v>
      </c>
      <c r="F219" s="36">
        <v>45352</v>
      </c>
      <c r="G219" s="36">
        <v>45352</v>
      </c>
      <c r="H219" s="37" t="str">
        <f>IFERROR(VLOOKUP(Tabela1[[#This Row],[Tag]],TAGS!$J$1:$K$11,2,0),"")</f>
        <v>Essencial</v>
      </c>
      <c r="I219" s="38" t="str">
        <f t="shared" si="3"/>
        <v>março</v>
      </c>
      <c r="J219" s="39" t="str">
        <f>IF(Tabela1[[#This Row],[Caixa]]="Receita","Recebido",IF(F219="","",IF(G219="","",IF(G219&lt;F219,"Pago atrasado",IF(Tabela1[[#This Row],[Data do Pagamento / Compra]]&gt;Tabela1[[#This Row],[Data de Compra]],"Pago","Pago")))))</f>
        <v>Pago</v>
      </c>
    </row>
    <row r="220" spans="1:10" ht="21" hidden="1" customHeight="1" x14ac:dyDescent="0.2">
      <c r="A220" s="33" t="s">
        <v>55</v>
      </c>
      <c r="B220" s="34" t="s">
        <v>29</v>
      </c>
      <c r="C220" s="34" t="s">
        <v>14</v>
      </c>
      <c r="D220" s="34" t="s">
        <v>15</v>
      </c>
      <c r="E220" s="35">
        <v>14.97</v>
      </c>
      <c r="F220" s="36">
        <v>45352</v>
      </c>
      <c r="G220" s="36">
        <v>45352</v>
      </c>
      <c r="H220" s="37" t="str">
        <f>IFERROR(VLOOKUP(Tabela1[[#This Row],[Tag]],TAGS!$J$1:$K$11,2,0),"")</f>
        <v>Não essencial</v>
      </c>
      <c r="I220" s="38" t="str">
        <f t="shared" si="3"/>
        <v>março</v>
      </c>
      <c r="J220" s="39" t="str">
        <f>IF(Tabela1[[#This Row],[Caixa]]="Receita","Recebido",IF(F220="","",IF(G220="","",IF(G220&lt;F220,"Pago atrasado",IF(Tabela1[[#This Row],[Data do Pagamento / Compra]]&gt;Tabela1[[#This Row],[Data de Compra]],"Pago","Pago")))))</f>
        <v>Pago</v>
      </c>
    </row>
    <row r="221" spans="1:10" ht="21" hidden="1" customHeight="1" x14ac:dyDescent="0.2">
      <c r="A221" s="33" t="s">
        <v>81</v>
      </c>
      <c r="B221" s="34" t="s">
        <v>29</v>
      </c>
      <c r="C221" s="34" t="s">
        <v>13</v>
      </c>
      <c r="D221" s="34" t="s">
        <v>15</v>
      </c>
      <c r="E221" s="35">
        <v>15</v>
      </c>
      <c r="F221" s="36">
        <v>45356</v>
      </c>
      <c r="G221" s="36">
        <v>45356</v>
      </c>
      <c r="H221" s="37" t="str">
        <f>IFERROR(VLOOKUP(Tabela1[[#This Row],[Tag]],TAGS!$J$1:$K$11,2,0),"")</f>
        <v>Essencial</v>
      </c>
      <c r="I221" s="38" t="str">
        <f t="shared" si="3"/>
        <v>março</v>
      </c>
      <c r="J221" s="39" t="str">
        <f>IF(Tabela1[[#This Row],[Caixa]]="Receita","Recebido",IF(F221="","",IF(G221="","",IF(G221&lt;F221,"Pago atrasado",IF(Tabela1[[#This Row],[Data do Pagamento / Compra]]&gt;Tabela1[[#This Row],[Data de Compra]],"Pago","Pago")))))</f>
        <v>Pago</v>
      </c>
    </row>
    <row r="222" spans="1:10" ht="21" hidden="1" customHeight="1" x14ac:dyDescent="0.2">
      <c r="A222" s="33" t="s">
        <v>127</v>
      </c>
      <c r="B222" s="34" t="s">
        <v>29</v>
      </c>
      <c r="C222" s="34" t="s">
        <v>12</v>
      </c>
      <c r="D222" s="34" t="s">
        <v>15</v>
      </c>
      <c r="E222" s="35">
        <v>10.4</v>
      </c>
      <c r="F222" s="36">
        <v>45356</v>
      </c>
      <c r="G222" s="36">
        <v>45356</v>
      </c>
      <c r="H222" s="37" t="str">
        <f>IFERROR(VLOOKUP(Tabela1[[#This Row],[Tag]],TAGS!$J$1:$K$11,2,0),"")</f>
        <v>Essencial</v>
      </c>
      <c r="I222" s="38" t="str">
        <f t="shared" si="3"/>
        <v>março</v>
      </c>
      <c r="J222" s="39" t="str">
        <f>IF(Tabela1[[#This Row],[Caixa]]="Receita","Recebido",IF(F222="","",IF(G222="","",IF(G222&lt;F222,"Pago atrasado",IF(Tabela1[[#This Row],[Data do Pagamento / Compra]]&gt;Tabela1[[#This Row],[Data de Compra]],"Pago","Pago")))))</f>
        <v>Pago</v>
      </c>
    </row>
    <row r="223" spans="1:10" ht="21" hidden="1" customHeight="1" x14ac:dyDescent="0.2">
      <c r="A223" s="33" t="s">
        <v>81</v>
      </c>
      <c r="B223" s="34" t="s">
        <v>29</v>
      </c>
      <c r="C223" s="34" t="s">
        <v>13</v>
      </c>
      <c r="D223" s="34" t="s">
        <v>15</v>
      </c>
      <c r="E223" s="35">
        <v>12.2</v>
      </c>
      <c r="F223" s="36">
        <v>45357</v>
      </c>
      <c r="G223" s="36">
        <v>45357</v>
      </c>
      <c r="H223" s="37" t="str">
        <f>IFERROR(VLOOKUP(Tabela1[[#This Row],[Tag]],TAGS!$J$1:$K$11,2,0),"")</f>
        <v>Essencial</v>
      </c>
      <c r="I223" s="38" t="str">
        <f t="shared" si="3"/>
        <v>março</v>
      </c>
      <c r="J223" s="39" t="str">
        <f>IF(Tabela1[[#This Row],[Caixa]]="Receita","Recebido",IF(F223="","",IF(G223="","",IF(G223&lt;F223,"Pago atrasado",IF(Tabela1[[#This Row],[Data do Pagamento / Compra]]&gt;Tabela1[[#This Row],[Data de Compra]],"Pago","Pago")))))</f>
        <v>Pago</v>
      </c>
    </row>
    <row r="224" spans="1:10" ht="21" hidden="1" customHeight="1" x14ac:dyDescent="0.2">
      <c r="A224" s="33" t="s">
        <v>92</v>
      </c>
      <c r="B224" s="34" t="s">
        <v>29</v>
      </c>
      <c r="C224" s="34" t="s">
        <v>20</v>
      </c>
      <c r="D224" s="34" t="s">
        <v>88</v>
      </c>
      <c r="E224" s="35">
        <v>29.9</v>
      </c>
      <c r="F224" s="36">
        <v>45332</v>
      </c>
      <c r="G224" s="36">
        <v>45357</v>
      </c>
      <c r="H224" s="37" t="str">
        <f>IFERROR(VLOOKUP(Tabela1[[#This Row],[Tag]],TAGS!$J$1:$K$11,2,0),"")</f>
        <v>Essencial</v>
      </c>
      <c r="I224" s="38" t="str">
        <f t="shared" si="3"/>
        <v>março</v>
      </c>
      <c r="J224" s="39" t="str">
        <f>IF(Tabela1[[#This Row],[Caixa]]="Receita","Recebido",IF(F224="","",IF(G224="","",IF(G224&lt;F224,"Pago atrasado",IF(Tabela1[[#This Row],[Data do Pagamento / Compra]]&gt;Tabela1[[#This Row],[Data de Compra]],"Pago","Pago")))))</f>
        <v>Pago</v>
      </c>
    </row>
    <row r="225" spans="1:10" ht="21" hidden="1" customHeight="1" x14ac:dyDescent="0.2">
      <c r="A225" s="33" t="s">
        <v>128</v>
      </c>
      <c r="B225" s="34" t="s">
        <v>29</v>
      </c>
      <c r="C225" s="34" t="s">
        <v>20</v>
      </c>
      <c r="D225" s="34" t="s">
        <v>88</v>
      </c>
      <c r="E225" s="35">
        <v>29.9</v>
      </c>
      <c r="F225" s="36">
        <v>45332</v>
      </c>
      <c r="G225" s="36">
        <v>45357</v>
      </c>
      <c r="H225" s="37" t="str">
        <f>IFERROR(VLOOKUP(Tabela1[[#This Row],[Tag]],TAGS!$J$1:$K$11,2,0),"")</f>
        <v>Essencial</v>
      </c>
      <c r="I225" s="38" t="str">
        <f t="shared" si="3"/>
        <v>março</v>
      </c>
      <c r="J225" s="39" t="str">
        <f>IF(Tabela1[[#This Row],[Caixa]]="Receita","Recebido",IF(F225="","",IF(G225="","",IF(G225&lt;F225,"Pago atrasado",IF(Tabela1[[#This Row],[Data do Pagamento / Compra]]&gt;Tabela1[[#This Row],[Data de Compra]],"Pago","Pago")))))</f>
        <v>Pago</v>
      </c>
    </row>
    <row r="226" spans="1:10" ht="21" hidden="1" customHeight="1" x14ac:dyDescent="0.2">
      <c r="A226" s="33" t="s">
        <v>93</v>
      </c>
      <c r="B226" s="34" t="s">
        <v>29</v>
      </c>
      <c r="C226" s="34" t="s">
        <v>18</v>
      </c>
      <c r="D226" s="34" t="s">
        <v>88</v>
      </c>
      <c r="E226" s="35">
        <v>146.34</v>
      </c>
      <c r="F226" s="36">
        <v>45332</v>
      </c>
      <c r="G226" s="36">
        <v>45357</v>
      </c>
      <c r="H226" s="37" t="str">
        <f>IFERROR(VLOOKUP(Tabela1[[#This Row],[Tag]],TAGS!$J$1:$K$11,2,0),"")</f>
        <v>Não essencial</v>
      </c>
      <c r="I226" s="38" t="str">
        <f t="shared" si="3"/>
        <v>março</v>
      </c>
      <c r="J226" s="39" t="str">
        <f>IF(Tabela1[[#This Row],[Caixa]]="Receita","Recebido",IF(F226="","",IF(G226="","",IF(G226&lt;F226,"Pago atrasado",IF(Tabela1[[#This Row],[Data do Pagamento / Compra]]&gt;Tabela1[[#This Row],[Data de Compra]],"Pago","Pago")))))</f>
        <v>Pago</v>
      </c>
    </row>
    <row r="227" spans="1:10" ht="21" hidden="1" customHeight="1" x14ac:dyDescent="0.2">
      <c r="A227" s="33" t="s">
        <v>94</v>
      </c>
      <c r="B227" s="34" t="s">
        <v>29</v>
      </c>
      <c r="C227" s="34" t="s">
        <v>21</v>
      </c>
      <c r="D227" s="34" t="s">
        <v>88</v>
      </c>
      <c r="E227" s="35">
        <v>34.9</v>
      </c>
      <c r="F227" s="36">
        <v>45332</v>
      </c>
      <c r="G227" s="36">
        <v>45357</v>
      </c>
      <c r="H227" s="37" t="str">
        <f>IFERROR(VLOOKUP(Tabela1[[#This Row],[Tag]],TAGS!$J$1:$K$11,2,0),"")</f>
        <v>Não essencial</v>
      </c>
      <c r="I227" s="38" t="str">
        <f t="shared" si="3"/>
        <v>março</v>
      </c>
      <c r="J227" s="39" t="str">
        <f>IF(Tabela1[[#This Row],[Caixa]]="Receita","Recebido",IF(F227="","",IF(G227="","",IF(G227&lt;F227,"Pago atrasado",IF(Tabela1[[#This Row],[Data do Pagamento / Compra]]&gt;Tabela1[[#This Row],[Data de Compra]],"Pago","Pago")))))</f>
        <v>Pago</v>
      </c>
    </row>
    <row r="228" spans="1:10" ht="21" hidden="1" customHeight="1" x14ac:dyDescent="0.2">
      <c r="A228" s="33" t="s">
        <v>129</v>
      </c>
      <c r="B228" s="34" t="s">
        <v>29</v>
      </c>
      <c r="C228" s="34" t="s">
        <v>14</v>
      </c>
      <c r="D228" s="34" t="s">
        <v>88</v>
      </c>
      <c r="E228" s="35">
        <v>37.880000000000003</v>
      </c>
      <c r="F228" s="36">
        <v>45332</v>
      </c>
      <c r="G228" s="36">
        <v>45357</v>
      </c>
      <c r="H228" s="37" t="str">
        <f>IFERROR(VLOOKUP(Tabela1[[#This Row],[Tag]],TAGS!$J$1:$K$11,2,0),"")</f>
        <v>Não essencial</v>
      </c>
      <c r="I228" s="38" t="str">
        <f t="shared" si="3"/>
        <v>março</v>
      </c>
      <c r="J228" s="39" t="str">
        <f>IF(Tabela1[[#This Row],[Caixa]]="Receita","Recebido",IF(F228="","",IF(G228="","",IF(G228&lt;F228,"Pago atrasado",IF(Tabela1[[#This Row],[Data do Pagamento / Compra]]&gt;Tabela1[[#This Row],[Data de Compra]],"Pago","Pago")))))</f>
        <v>Pago</v>
      </c>
    </row>
    <row r="229" spans="1:10" ht="21" hidden="1" customHeight="1" x14ac:dyDescent="0.2">
      <c r="A229" s="33" t="s">
        <v>95</v>
      </c>
      <c r="B229" s="34" t="s">
        <v>29</v>
      </c>
      <c r="C229" s="34" t="s">
        <v>21</v>
      </c>
      <c r="D229" s="34" t="s">
        <v>88</v>
      </c>
      <c r="E229" s="35">
        <v>22.4</v>
      </c>
      <c r="F229" s="36">
        <v>45332</v>
      </c>
      <c r="G229" s="36">
        <v>45357</v>
      </c>
      <c r="H229" s="37" t="str">
        <f>IFERROR(VLOOKUP(Tabela1[[#This Row],[Tag]],TAGS!$J$1:$K$11,2,0),"")</f>
        <v>Não essencial</v>
      </c>
      <c r="I229" s="38" t="str">
        <f t="shared" si="3"/>
        <v>março</v>
      </c>
      <c r="J229" s="39" t="str">
        <f>IF(Tabela1[[#This Row],[Caixa]]="Receita","Recebido",IF(F229="","",IF(G229="","",IF(G229&lt;F229,"Pago atrasado",IF(Tabela1[[#This Row],[Data do Pagamento / Compra]]&gt;Tabela1[[#This Row],[Data de Compra]],"Pago","Pago")))))</f>
        <v>Pago</v>
      </c>
    </row>
    <row r="230" spans="1:10" ht="21" hidden="1" customHeight="1" x14ac:dyDescent="0.2">
      <c r="A230" s="33" t="s">
        <v>81</v>
      </c>
      <c r="B230" s="34" t="s">
        <v>29</v>
      </c>
      <c r="C230" s="34" t="s">
        <v>13</v>
      </c>
      <c r="D230" s="34" t="s">
        <v>88</v>
      </c>
      <c r="E230" s="35">
        <v>13</v>
      </c>
      <c r="F230" s="36">
        <v>45332</v>
      </c>
      <c r="G230" s="36">
        <v>45357</v>
      </c>
      <c r="H230" s="37" t="str">
        <f>IFERROR(VLOOKUP(Tabela1[[#This Row],[Tag]],TAGS!$J$1:$K$11,2,0),"")</f>
        <v>Essencial</v>
      </c>
      <c r="I230" s="38" t="str">
        <f t="shared" si="3"/>
        <v>março</v>
      </c>
      <c r="J230" s="39" t="str">
        <f>IF(Tabela1[[#This Row],[Caixa]]="Receita","Recebido",IF(F230="","",IF(G230="","",IF(G230&lt;F230,"Pago atrasado",IF(Tabela1[[#This Row],[Data do Pagamento / Compra]]&gt;Tabela1[[#This Row],[Data de Compra]],"Pago","Pago")))))</f>
        <v>Pago</v>
      </c>
    </row>
    <row r="231" spans="1:10" ht="21" hidden="1" customHeight="1" x14ac:dyDescent="0.2">
      <c r="A231" s="33" t="s">
        <v>81</v>
      </c>
      <c r="B231" s="34" t="s">
        <v>29</v>
      </c>
      <c r="C231" s="34" t="s">
        <v>13</v>
      </c>
      <c r="D231" s="34" t="s">
        <v>88</v>
      </c>
      <c r="E231" s="35">
        <v>12.1</v>
      </c>
      <c r="F231" s="36">
        <v>45332</v>
      </c>
      <c r="G231" s="36">
        <v>45357</v>
      </c>
      <c r="H231" s="37" t="str">
        <f>IFERROR(VLOOKUP(Tabela1[[#This Row],[Tag]],TAGS!$J$1:$K$11,2,0),"")</f>
        <v>Essencial</v>
      </c>
      <c r="I231" s="38" t="str">
        <f t="shared" si="3"/>
        <v>março</v>
      </c>
      <c r="J231" s="39" t="str">
        <f>IF(Tabela1[[#This Row],[Caixa]]="Receita","Recebido",IF(F231="","",IF(G231="","",IF(G231&lt;F231,"Pago atrasado",IF(Tabela1[[#This Row],[Data do Pagamento / Compra]]&gt;Tabela1[[#This Row],[Data de Compra]],"Pago","Pago")))))</f>
        <v>Pago</v>
      </c>
    </row>
    <row r="232" spans="1:10" ht="21" hidden="1" customHeight="1" x14ac:dyDescent="0.2">
      <c r="A232" s="33" t="s">
        <v>81</v>
      </c>
      <c r="B232" s="34" t="s">
        <v>29</v>
      </c>
      <c r="C232" s="34" t="s">
        <v>13</v>
      </c>
      <c r="D232" s="34" t="s">
        <v>88</v>
      </c>
      <c r="E232" s="35">
        <v>11.7</v>
      </c>
      <c r="F232" s="36">
        <v>45332</v>
      </c>
      <c r="G232" s="36">
        <v>45357</v>
      </c>
      <c r="H232" s="37" t="str">
        <f>IFERROR(VLOOKUP(Tabela1[[#This Row],[Tag]],TAGS!$J$1:$K$11,2,0),"")</f>
        <v>Essencial</v>
      </c>
      <c r="I232" s="38" t="str">
        <f t="shared" si="3"/>
        <v>março</v>
      </c>
      <c r="J232" s="39" t="str">
        <f>IF(Tabela1[[#This Row],[Caixa]]="Receita","Recebido",IF(F232="","",IF(G232="","",IF(G232&lt;F232,"Pago atrasado",IF(Tabela1[[#This Row],[Data do Pagamento / Compra]]&gt;Tabela1[[#This Row],[Data de Compra]],"Pago","Pago")))))</f>
        <v>Pago</v>
      </c>
    </row>
    <row r="233" spans="1:10" ht="21" hidden="1" customHeight="1" x14ac:dyDescent="0.2">
      <c r="A233" s="33" t="s">
        <v>81</v>
      </c>
      <c r="B233" s="34" t="s">
        <v>29</v>
      </c>
      <c r="C233" s="34" t="s">
        <v>13</v>
      </c>
      <c r="D233" s="34" t="s">
        <v>88</v>
      </c>
      <c r="E233" s="35">
        <v>13</v>
      </c>
      <c r="F233" s="36">
        <v>45332</v>
      </c>
      <c r="G233" s="36">
        <v>45357</v>
      </c>
      <c r="H233" s="37" t="str">
        <f>IFERROR(VLOOKUP(Tabela1[[#This Row],[Tag]],TAGS!$J$1:$K$11,2,0),"")</f>
        <v>Essencial</v>
      </c>
      <c r="I233" s="38" t="str">
        <f t="shared" si="3"/>
        <v>março</v>
      </c>
      <c r="J233" s="39" t="str">
        <f>IF(Tabela1[[#This Row],[Caixa]]="Receita","Recebido",IF(F233="","",IF(G233="","",IF(G233&lt;F233,"Pago atrasado",IF(Tabela1[[#This Row],[Data do Pagamento / Compra]]&gt;Tabela1[[#This Row],[Data de Compra]],"Pago","Pago")))))</f>
        <v>Pago</v>
      </c>
    </row>
    <row r="234" spans="1:10" ht="21" hidden="1" customHeight="1" x14ac:dyDescent="0.2">
      <c r="A234" s="33" t="s">
        <v>81</v>
      </c>
      <c r="B234" s="34" t="s">
        <v>29</v>
      </c>
      <c r="C234" s="34" t="s">
        <v>13</v>
      </c>
      <c r="D234" s="34" t="s">
        <v>88</v>
      </c>
      <c r="E234" s="35">
        <v>12.9</v>
      </c>
      <c r="F234" s="36">
        <v>45332</v>
      </c>
      <c r="G234" s="36">
        <v>45357</v>
      </c>
      <c r="H234" s="37" t="str">
        <f>IFERROR(VLOOKUP(Tabela1[[#This Row],[Tag]],TAGS!$J$1:$K$11,2,0),"")</f>
        <v>Essencial</v>
      </c>
      <c r="I234" s="38" t="str">
        <f t="shared" si="3"/>
        <v>março</v>
      </c>
      <c r="J234" s="39" t="str">
        <f>IF(Tabela1[[#This Row],[Caixa]]="Receita","Recebido",IF(F234="","",IF(G234="","",IF(G234&lt;F234,"Pago atrasado",IF(Tabela1[[#This Row],[Data do Pagamento / Compra]]&gt;Tabela1[[#This Row],[Data de Compra]],"Pago","Pago")))))</f>
        <v>Pago</v>
      </c>
    </row>
    <row r="235" spans="1:10" ht="21" hidden="1" customHeight="1" x14ac:dyDescent="0.2">
      <c r="A235" s="33" t="s">
        <v>81</v>
      </c>
      <c r="B235" s="34" t="s">
        <v>29</v>
      </c>
      <c r="C235" s="34" t="s">
        <v>13</v>
      </c>
      <c r="D235" s="34" t="s">
        <v>88</v>
      </c>
      <c r="E235" s="35">
        <v>23.7</v>
      </c>
      <c r="F235" s="36">
        <v>45332</v>
      </c>
      <c r="G235" s="36">
        <v>45357</v>
      </c>
      <c r="H235" s="37" t="str">
        <f>IFERROR(VLOOKUP(Tabela1[[#This Row],[Tag]],TAGS!$J$1:$K$11,2,0),"")</f>
        <v>Essencial</v>
      </c>
      <c r="I235" s="38" t="str">
        <f t="shared" si="3"/>
        <v>março</v>
      </c>
      <c r="J235" s="39" t="str">
        <f>IF(Tabela1[[#This Row],[Caixa]]="Receita","Recebido",IF(F235="","",IF(G235="","",IF(G235&lt;F235,"Pago atrasado",IF(Tabela1[[#This Row],[Data do Pagamento / Compra]]&gt;Tabela1[[#This Row],[Data de Compra]],"Pago","Pago")))))</f>
        <v>Pago</v>
      </c>
    </row>
    <row r="236" spans="1:10" ht="21" hidden="1" customHeight="1" x14ac:dyDescent="0.2">
      <c r="A236" s="33" t="s">
        <v>81</v>
      </c>
      <c r="B236" s="34" t="s">
        <v>29</v>
      </c>
      <c r="C236" s="34" t="s">
        <v>13</v>
      </c>
      <c r="D236" s="34" t="s">
        <v>88</v>
      </c>
      <c r="E236" s="35">
        <v>18.47</v>
      </c>
      <c r="F236" s="36">
        <v>45332</v>
      </c>
      <c r="G236" s="36">
        <v>45357</v>
      </c>
      <c r="H236" s="37" t="str">
        <f>IFERROR(VLOOKUP(Tabela1[[#This Row],[Tag]],TAGS!$J$1:$K$11,2,0),"")</f>
        <v>Essencial</v>
      </c>
      <c r="I236" s="38" t="str">
        <f t="shared" si="3"/>
        <v>março</v>
      </c>
      <c r="J236" s="39" t="str">
        <f>IF(Tabela1[[#This Row],[Caixa]]="Receita","Recebido",IF(F236="","",IF(G236="","",IF(G236&lt;F236,"Pago atrasado",IF(Tabela1[[#This Row],[Data do Pagamento / Compra]]&gt;Tabela1[[#This Row],[Data de Compra]],"Pago","Pago")))))</f>
        <v>Pago</v>
      </c>
    </row>
    <row r="237" spans="1:10" ht="21" hidden="1" customHeight="1" x14ac:dyDescent="0.2">
      <c r="A237" s="33" t="s">
        <v>81</v>
      </c>
      <c r="B237" s="34" t="s">
        <v>29</v>
      </c>
      <c r="C237" s="34" t="s">
        <v>13</v>
      </c>
      <c r="D237" s="34" t="s">
        <v>88</v>
      </c>
      <c r="E237" s="35">
        <v>16.100000000000001</v>
      </c>
      <c r="F237" s="36">
        <v>45332</v>
      </c>
      <c r="G237" s="36">
        <v>45357</v>
      </c>
      <c r="H237" s="37" t="str">
        <f>IFERROR(VLOOKUP(Tabela1[[#This Row],[Tag]],TAGS!$J$1:$K$11,2,0),"")</f>
        <v>Essencial</v>
      </c>
      <c r="I237" s="38" t="str">
        <f t="shared" si="3"/>
        <v>março</v>
      </c>
      <c r="J237" s="39" t="str">
        <f>IF(Tabela1[[#This Row],[Caixa]]="Receita","Recebido",IF(F237="","",IF(G237="","",IF(G237&lt;F237,"Pago atrasado",IF(Tabela1[[#This Row],[Data do Pagamento / Compra]]&gt;Tabela1[[#This Row],[Data de Compra]],"Pago","Pago")))))</f>
        <v>Pago</v>
      </c>
    </row>
    <row r="238" spans="1:10" ht="21" hidden="1" customHeight="1" x14ac:dyDescent="0.2">
      <c r="A238" s="33" t="s">
        <v>130</v>
      </c>
      <c r="B238" s="34" t="s">
        <v>29</v>
      </c>
      <c r="C238" s="34" t="s">
        <v>20</v>
      </c>
      <c r="D238" s="34" t="s">
        <v>89</v>
      </c>
      <c r="E238" s="35">
        <v>83.12</v>
      </c>
      <c r="F238" s="36">
        <v>45332</v>
      </c>
      <c r="G238" s="36">
        <v>45357</v>
      </c>
      <c r="H238" s="37" t="str">
        <f>IFERROR(VLOOKUP(Tabela1[[#This Row],[Tag]],TAGS!$J$1:$K$11,2,0),"")</f>
        <v>Essencial</v>
      </c>
      <c r="I238" s="38" t="str">
        <f t="shared" si="3"/>
        <v>março</v>
      </c>
      <c r="J238" s="39" t="str">
        <f>IF(Tabela1[[#This Row],[Caixa]]="Receita","Recebido",IF(F238="","",IF(G238="","",IF(G238&lt;F238,"Pago atrasado",IF(Tabela1[[#This Row],[Data do Pagamento / Compra]]&gt;Tabela1[[#This Row],[Data de Compra]],"Pago","Pago")))))</f>
        <v>Pago</v>
      </c>
    </row>
    <row r="239" spans="1:10" ht="21" hidden="1" customHeight="1" x14ac:dyDescent="0.2">
      <c r="A239" s="33" t="s">
        <v>131</v>
      </c>
      <c r="B239" s="34" t="s">
        <v>29</v>
      </c>
      <c r="C239" s="34" t="s">
        <v>14</v>
      </c>
      <c r="D239" s="34" t="s">
        <v>89</v>
      </c>
      <c r="E239" s="35">
        <v>79.900000000000006</v>
      </c>
      <c r="F239" s="36">
        <v>45332</v>
      </c>
      <c r="G239" s="36">
        <v>45357</v>
      </c>
      <c r="H239" s="37" t="str">
        <f>IFERROR(VLOOKUP(Tabela1[[#This Row],[Tag]],TAGS!$J$1:$K$11,2,0),"")</f>
        <v>Não essencial</v>
      </c>
      <c r="I239" s="38" t="str">
        <f t="shared" si="3"/>
        <v>março</v>
      </c>
      <c r="J239" s="39" t="str">
        <f>IF(Tabela1[[#This Row],[Caixa]]="Receita","Recebido",IF(F239="","",IF(G239="","",IF(G239&lt;F239,"Pago atrasado",IF(Tabela1[[#This Row],[Data do Pagamento / Compra]]&gt;Tabela1[[#This Row],[Data de Compra]],"Pago","Pago")))))</f>
        <v>Pago</v>
      </c>
    </row>
    <row r="240" spans="1:10" ht="21" hidden="1" customHeight="1" x14ac:dyDescent="0.2">
      <c r="A240" s="33" t="s">
        <v>151</v>
      </c>
      <c r="B240" s="34" t="s">
        <v>29</v>
      </c>
      <c r="C240" s="34" t="s">
        <v>20</v>
      </c>
      <c r="D240" s="34" t="s">
        <v>89</v>
      </c>
      <c r="E240" s="35">
        <v>59.9</v>
      </c>
      <c r="F240" s="36">
        <v>45332</v>
      </c>
      <c r="G240" s="36">
        <v>45357</v>
      </c>
      <c r="H240" s="37" t="str">
        <f>IFERROR(VLOOKUP(Tabela1[[#This Row],[Tag]],TAGS!$J$1:$K$11,2,0),"")</f>
        <v>Essencial</v>
      </c>
      <c r="I240" s="38" t="str">
        <f t="shared" si="3"/>
        <v>março</v>
      </c>
      <c r="J240" s="39" t="str">
        <f>IF(Tabela1[[#This Row],[Caixa]]="Receita","Recebido",IF(F240="","",IF(G240="","",IF(G240&lt;F240,"Pago atrasado",IF(Tabela1[[#This Row],[Data do Pagamento / Compra]]&gt;Tabela1[[#This Row],[Data de Compra]],"Pago","Pago")))))</f>
        <v>Pago</v>
      </c>
    </row>
    <row r="241" spans="1:10" ht="21" hidden="1" customHeight="1" x14ac:dyDescent="0.2">
      <c r="A241" s="33" t="s">
        <v>132</v>
      </c>
      <c r="B241" s="34" t="s">
        <v>29</v>
      </c>
      <c r="C241" s="34" t="s">
        <v>21</v>
      </c>
      <c r="D241" s="34" t="s">
        <v>89</v>
      </c>
      <c r="E241" s="35">
        <v>326</v>
      </c>
      <c r="F241" s="36">
        <v>45332</v>
      </c>
      <c r="G241" s="36">
        <v>45357</v>
      </c>
      <c r="H241" s="37" t="str">
        <f>IFERROR(VLOOKUP(Tabela1[[#This Row],[Tag]],TAGS!$J$1:$K$11,2,0),"")</f>
        <v>Não essencial</v>
      </c>
      <c r="I241" s="38" t="str">
        <f t="shared" si="3"/>
        <v>março</v>
      </c>
      <c r="J241" s="39" t="str">
        <f>IF(Tabela1[[#This Row],[Caixa]]="Receita","Recebido",IF(F241="","",IF(G241="","",IF(G241&lt;F241,"Pago atrasado",IF(Tabela1[[#This Row],[Data do Pagamento / Compra]]&gt;Tabela1[[#This Row],[Data de Compra]],"Pago","Pago")))))</f>
        <v>Pago</v>
      </c>
    </row>
    <row r="242" spans="1:10" ht="21" hidden="1" customHeight="1" x14ac:dyDescent="0.2">
      <c r="A242" s="33" t="s">
        <v>133</v>
      </c>
      <c r="B242" s="34" t="s">
        <v>29</v>
      </c>
      <c r="C242" s="34" t="s">
        <v>12</v>
      </c>
      <c r="D242" s="34" t="s">
        <v>15</v>
      </c>
      <c r="E242" s="35">
        <v>14</v>
      </c>
      <c r="F242" s="36">
        <v>45357</v>
      </c>
      <c r="G242" s="36">
        <v>45357</v>
      </c>
      <c r="H242" s="37" t="str">
        <f>IFERROR(VLOOKUP(Tabela1[[#This Row],[Tag]],TAGS!$J$1:$K$11,2,0),"")</f>
        <v>Essencial</v>
      </c>
      <c r="I242" s="38" t="str">
        <f t="shared" si="3"/>
        <v>março</v>
      </c>
      <c r="J242" s="39" t="str">
        <f>IF(Tabela1[[#This Row],[Caixa]]="Receita","Recebido",IF(F242="","",IF(G242="","",IF(G242&lt;F242,"Pago atrasado",IF(Tabela1[[#This Row],[Data do Pagamento / Compra]]&gt;Tabela1[[#This Row],[Data de Compra]],"Pago","Pago")))))</f>
        <v>Pago</v>
      </c>
    </row>
    <row r="243" spans="1:10" ht="21" hidden="1" customHeight="1" x14ac:dyDescent="0.2">
      <c r="A243" s="33" t="s">
        <v>81</v>
      </c>
      <c r="B243" s="34" t="s">
        <v>29</v>
      </c>
      <c r="C243" s="34" t="s">
        <v>13</v>
      </c>
      <c r="D243" s="34" t="s">
        <v>15</v>
      </c>
      <c r="E243" s="35">
        <v>16</v>
      </c>
      <c r="F243" s="36">
        <v>45357</v>
      </c>
      <c r="G243" s="36">
        <v>45357</v>
      </c>
      <c r="H243" s="37" t="str">
        <f>IFERROR(VLOOKUP(Tabela1[[#This Row],[Tag]],TAGS!$J$1:$K$11,2,0),"")</f>
        <v>Essencial</v>
      </c>
      <c r="I243" s="38" t="str">
        <f t="shared" si="3"/>
        <v>março</v>
      </c>
      <c r="J243" s="39" t="str">
        <f>IF(Tabela1[[#This Row],[Caixa]]="Receita","Recebido",IF(F243="","",IF(G243="","",IF(G243&lt;F243,"Pago atrasado",IF(Tabela1[[#This Row],[Data do Pagamento / Compra]]&gt;Tabela1[[#This Row],[Data de Compra]],"Pago","Pago")))))</f>
        <v>Pago</v>
      </c>
    </row>
    <row r="244" spans="1:10" ht="21" hidden="1" customHeight="1" x14ac:dyDescent="0.2">
      <c r="A244" s="33" t="s">
        <v>134</v>
      </c>
      <c r="B244" s="34" t="s">
        <v>29</v>
      </c>
      <c r="C244" s="34" t="s">
        <v>12</v>
      </c>
      <c r="D244" s="34" t="s">
        <v>15</v>
      </c>
      <c r="E244" s="35">
        <v>5</v>
      </c>
      <c r="F244" s="36">
        <v>45357</v>
      </c>
      <c r="G244" s="36">
        <v>45357</v>
      </c>
      <c r="H244" s="37" t="str">
        <f>IFERROR(VLOOKUP(Tabela1[[#This Row],[Tag]],TAGS!$J$1:$K$11,2,0),"")</f>
        <v>Essencial</v>
      </c>
      <c r="I244" s="38" t="str">
        <f t="shared" si="3"/>
        <v>março</v>
      </c>
      <c r="J244" s="39" t="str">
        <f>IF(Tabela1[[#This Row],[Caixa]]="Receita","Recebido",IF(F244="","",IF(G244="","",IF(G244&lt;F244,"Pago atrasado",IF(Tabela1[[#This Row],[Data do Pagamento / Compra]]&gt;Tabela1[[#This Row],[Data de Compra]],"Pago","Pago")))))</f>
        <v>Pago</v>
      </c>
    </row>
    <row r="245" spans="1:10" ht="21" hidden="1" customHeight="1" x14ac:dyDescent="0.2">
      <c r="A245" s="33" t="s">
        <v>135</v>
      </c>
      <c r="B245" s="34" t="s">
        <v>29</v>
      </c>
      <c r="C245" s="34" t="s">
        <v>20</v>
      </c>
      <c r="D245" s="34" t="s">
        <v>15</v>
      </c>
      <c r="E245" s="35">
        <v>450</v>
      </c>
      <c r="F245" s="36">
        <v>45357</v>
      </c>
      <c r="G245" s="36">
        <v>45357</v>
      </c>
      <c r="H245" s="37" t="str">
        <f>IFERROR(VLOOKUP(Tabela1[[#This Row],[Tag]],TAGS!$J$1:$K$11,2,0),"")</f>
        <v>Essencial</v>
      </c>
      <c r="I245" s="38" t="str">
        <f t="shared" si="3"/>
        <v>março</v>
      </c>
      <c r="J245" s="39" t="str">
        <f>IF(Tabela1[[#This Row],[Caixa]]="Receita","Recebido",IF(F245="","",IF(G245="","",IF(G245&lt;F245,"Pago atrasado",IF(Tabela1[[#This Row],[Data do Pagamento / Compra]]&gt;Tabela1[[#This Row],[Data de Compra]],"Pago","Pago")))))</f>
        <v>Pago</v>
      </c>
    </row>
    <row r="246" spans="1:10" ht="21" hidden="1" customHeight="1" x14ac:dyDescent="0.2">
      <c r="A246" s="33" t="s">
        <v>23</v>
      </c>
      <c r="B246" s="34" t="s">
        <v>29</v>
      </c>
      <c r="C246" s="34" t="s">
        <v>21</v>
      </c>
      <c r="D246" s="34" t="s">
        <v>15</v>
      </c>
      <c r="E246" s="35">
        <v>90.89</v>
      </c>
      <c r="F246" s="36">
        <v>45357</v>
      </c>
      <c r="G246" s="36">
        <v>45357</v>
      </c>
      <c r="H246" s="37" t="str">
        <f>IFERROR(VLOOKUP(Tabela1[[#This Row],[Tag]],TAGS!$J$1:$K$11,2,0),"")</f>
        <v>Não essencial</v>
      </c>
      <c r="I246" s="38" t="str">
        <f t="shared" si="3"/>
        <v>março</v>
      </c>
      <c r="J246" s="39" t="str">
        <f>IF(Tabela1[[#This Row],[Caixa]]="Receita","Recebido",IF(F246="","",IF(G246="","",IF(G246&lt;F246,"Pago atrasado",IF(Tabela1[[#This Row],[Data do Pagamento / Compra]]&gt;Tabela1[[#This Row],[Data de Compra]],"Pago","Pago")))))</f>
        <v>Pago</v>
      </c>
    </row>
    <row r="247" spans="1:10" ht="21" hidden="1" customHeight="1" x14ac:dyDescent="0.2">
      <c r="A247" s="33" t="s">
        <v>31</v>
      </c>
      <c r="B247" s="34" t="s">
        <v>28</v>
      </c>
      <c r="C247" s="34" t="s">
        <v>31</v>
      </c>
      <c r="D247" s="34" t="s">
        <v>33</v>
      </c>
      <c r="E247" s="35">
        <v>2870.59</v>
      </c>
      <c r="F247" s="36">
        <v>45357</v>
      </c>
      <c r="G247" s="36">
        <v>45357</v>
      </c>
      <c r="H247" s="37" t="str">
        <f>IFERROR(VLOOKUP(Tabela1[[#This Row],[Tag]],TAGS!$J$1:$K$11,2,0),"")</f>
        <v>Receita</v>
      </c>
      <c r="I247" s="38" t="str">
        <f t="shared" si="3"/>
        <v>março</v>
      </c>
      <c r="J247" s="39" t="str">
        <f>IF(Tabela1[[#This Row],[Caixa]]="Receita","Recebido",IF(F247="","",IF(G247="","",IF(G247&lt;F247,"Pago atrasado",IF(Tabela1[[#This Row],[Data do Pagamento / Compra]]&gt;Tabela1[[#This Row],[Data de Compra]],"Pago","Pago")))))</f>
        <v>Recebido</v>
      </c>
    </row>
    <row r="248" spans="1:10" ht="21" hidden="1" customHeight="1" x14ac:dyDescent="0.2">
      <c r="A248" s="33" t="s">
        <v>81</v>
      </c>
      <c r="B248" s="34" t="s">
        <v>29</v>
      </c>
      <c r="C248" s="34" t="s">
        <v>13</v>
      </c>
      <c r="D248" s="34" t="s">
        <v>15</v>
      </c>
      <c r="E248" s="35">
        <v>15.71</v>
      </c>
      <c r="F248" s="36">
        <v>45358</v>
      </c>
      <c r="G248" s="36">
        <v>45358</v>
      </c>
      <c r="H248" s="37" t="str">
        <f>IFERROR(VLOOKUP(Tabela1[[#This Row],[Tag]],TAGS!$J$1:$K$11,2,0),"")</f>
        <v>Essencial</v>
      </c>
      <c r="I248" s="38" t="str">
        <f t="shared" si="3"/>
        <v>março</v>
      </c>
      <c r="J248" s="39" t="str">
        <f>IF(Tabela1[[#This Row],[Caixa]]="Receita","Recebido",IF(F248="","",IF(G248="","",IF(G248&lt;F248,"Pago atrasado",IF(Tabela1[[#This Row],[Data do Pagamento / Compra]]&gt;Tabela1[[#This Row],[Data de Compra]],"Pago","Pago")))))</f>
        <v>Pago</v>
      </c>
    </row>
    <row r="249" spans="1:10" ht="21" hidden="1" customHeight="1" x14ac:dyDescent="0.2">
      <c r="A249" s="33" t="s">
        <v>81</v>
      </c>
      <c r="B249" s="34" t="s">
        <v>29</v>
      </c>
      <c r="C249" s="34" t="s">
        <v>13</v>
      </c>
      <c r="D249" s="34" t="s">
        <v>15</v>
      </c>
      <c r="E249" s="35">
        <v>15</v>
      </c>
      <c r="F249" s="36">
        <v>45358</v>
      </c>
      <c r="G249" s="36">
        <v>45358</v>
      </c>
      <c r="H249" s="37" t="str">
        <f>IFERROR(VLOOKUP(Tabela1[[#This Row],[Tag]],TAGS!$J$1:$K$11,2,0),"")</f>
        <v>Essencial</v>
      </c>
      <c r="I249" s="38" t="str">
        <f t="shared" si="3"/>
        <v>março</v>
      </c>
      <c r="J249" s="39" t="str">
        <f>IF(Tabela1[[#This Row],[Caixa]]="Receita","Recebido",IF(F249="","",IF(G249="","",IF(G249&lt;F249,"Pago atrasado",IF(Tabela1[[#This Row],[Data do Pagamento / Compra]]&gt;Tabela1[[#This Row],[Data de Compra]],"Pago","Pago")))))</f>
        <v>Pago</v>
      </c>
    </row>
    <row r="250" spans="1:10" ht="21" hidden="1" customHeight="1" x14ac:dyDescent="0.2">
      <c r="A250" s="33" t="s">
        <v>55</v>
      </c>
      <c r="B250" s="34" t="s">
        <v>29</v>
      </c>
      <c r="C250" s="34" t="s">
        <v>12</v>
      </c>
      <c r="D250" s="34" t="s">
        <v>15</v>
      </c>
      <c r="E250" s="35">
        <v>13.99</v>
      </c>
      <c r="F250" s="36">
        <v>45358</v>
      </c>
      <c r="G250" s="36">
        <v>45358</v>
      </c>
      <c r="H250" s="37" t="str">
        <f>IFERROR(VLOOKUP(Tabela1[[#This Row],[Tag]],TAGS!$J$1:$K$11,2,0),"")</f>
        <v>Essencial</v>
      </c>
      <c r="I250" s="38" t="str">
        <f t="shared" si="3"/>
        <v>março</v>
      </c>
      <c r="J250" s="39" t="str">
        <f>IF(Tabela1[[#This Row],[Caixa]]="Receita","Recebido",IF(F250="","",IF(G250="","",IF(G250&lt;F250,"Pago atrasado",IF(Tabela1[[#This Row],[Data do Pagamento / Compra]]&gt;Tabela1[[#This Row],[Data de Compra]],"Pago","Pago")))))</f>
        <v>Pago</v>
      </c>
    </row>
    <row r="251" spans="1:10" ht="21" hidden="1" customHeight="1" x14ac:dyDescent="0.2">
      <c r="A251" s="33" t="s">
        <v>2</v>
      </c>
      <c r="B251" s="34" t="s">
        <v>29</v>
      </c>
      <c r="C251" s="34" t="s">
        <v>11</v>
      </c>
      <c r="D251" s="34" t="s">
        <v>15</v>
      </c>
      <c r="E251" s="35">
        <v>950</v>
      </c>
      <c r="F251" s="36">
        <v>45359</v>
      </c>
      <c r="G251" s="36">
        <v>45359</v>
      </c>
      <c r="H251" s="37" t="str">
        <f>IFERROR(VLOOKUP(Tabela1[[#This Row],[Tag]],TAGS!$J$1:$K$11,2,0),"")</f>
        <v>Essencial</v>
      </c>
      <c r="I251" s="38" t="str">
        <f t="shared" si="3"/>
        <v>março</v>
      </c>
      <c r="J251" s="39" t="str">
        <f>IF(Tabela1[[#This Row],[Caixa]]="Receita","Recebido",IF(F251="","",IF(G251="","",IF(G251&lt;F251,"Pago atrasado",IF(Tabela1[[#This Row],[Data do Pagamento / Compra]]&gt;Tabela1[[#This Row],[Data de Compra]],"Pago","Pago")))))</f>
        <v>Pago</v>
      </c>
    </row>
    <row r="252" spans="1:10" ht="21" hidden="1" customHeight="1" x14ac:dyDescent="0.2">
      <c r="A252" s="33" t="s">
        <v>81</v>
      </c>
      <c r="B252" s="34" t="s">
        <v>29</v>
      </c>
      <c r="C252" s="34" t="s">
        <v>13</v>
      </c>
      <c r="D252" s="34" t="s">
        <v>15</v>
      </c>
      <c r="E252" s="35">
        <v>20.6</v>
      </c>
      <c r="F252" s="36">
        <v>45359</v>
      </c>
      <c r="G252" s="36">
        <v>45359</v>
      </c>
      <c r="H252" s="37" t="str">
        <f>IFERROR(VLOOKUP(Tabela1[[#This Row],[Tag]],TAGS!$J$1:$K$11,2,0),"")</f>
        <v>Essencial</v>
      </c>
      <c r="I252" s="38" t="str">
        <f t="shared" si="3"/>
        <v>março</v>
      </c>
      <c r="J252" s="39" t="str">
        <f>IF(Tabela1[[#This Row],[Caixa]]="Receita","Recebido",IF(F252="","",IF(G252="","",IF(G252&lt;F252,"Pago atrasado",IF(Tabela1[[#This Row],[Data do Pagamento / Compra]]&gt;Tabela1[[#This Row],[Data de Compra]],"Pago","Pago")))))</f>
        <v>Pago</v>
      </c>
    </row>
    <row r="253" spans="1:10" ht="21" hidden="1" customHeight="1" x14ac:dyDescent="0.2">
      <c r="A253" s="33" t="s">
        <v>81</v>
      </c>
      <c r="B253" s="34" t="s">
        <v>29</v>
      </c>
      <c r="C253" s="34" t="s">
        <v>13</v>
      </c>
      <c r="D253" s="34" t="s">
        <v>15</v>
      </c>
      <c r="E253" s="35">
        <v>21.66</v>
      </c>
      <c r="F253" s="36">
        <v>45359</v>
      </c>
      <c r="G253" s="36">
        <v>45359</v>
      </c>
      <c r="H253" s="37" t="str">
        <f>IFERROR(VLOOKUP(Tabela1[[#This Row],[Tag]],TAGS!$J$1:$K$11,2,0),"")</f>
        <v>Essencial</v>
      </c>
      <c r="I253" s="38" t="str">
        <f t="shared" si="3"/>
        <v>março</v>
      </c>
      <c r="J253" s="39" t="str">
        <f>IF(Tabela1[[#This Row],[Caixa]]="Receita","Recebido",IF(F253="","",IF(G253="","",IF(G253&lt;F253,"Pago atrasado",IF(Tabela1[[#This Row],[Data do Pagamento / Compra]]&gt;Tabela1[[#This Row],[Data de Compra]],"Pago","Pago")))))</f>
        <v>Pago</v>
      </c>
    </row>
    <row r="254" spans="1:10" ht="21" hidden="1" customHeight="1" x14ac:dyDescent="0.2">
      <c r="A254" s="33" t="s">
        <v>81</v>
      </c>
      <c r="B254" s="34" t="s">
        <v>29</v>
      </c>
      <c r="C254" s="34" t="s">
        <v>13</v>
      </c>
      <c r="D254" s="34" t="s">
        <v>15</v>
      </c>
      <c r="E254" s="35">
        <v>7.7</v>
      </c>
      <c r="F254" s="36">
        <v>45359</v>
      </c>
      <c r="G254" s="36">
        <v>45359</v>
      </c>
      <c r="H254" s="37" t="str">
        <f>IFERROR(VLOOKUP(Tabela1[[#This Row],[Tag]],TAGS!$J$1:$K$11,2,0),"")</f>
        <v>Essencial</v>
      </c>
      <c r="I254" s="38" t="str">
        <f t="shared" si="3"/>
        <v>março</v>
      </c>
      <c r="J254" s="39" t="str">
        <f>IF(Tabela1[[#This Row],[Caixa]]="Receita","Recebido",IF(F254="","",IF(G254="","",IF(G254&lt;F254,"Pago atrasado",IF(Tabela1[[#This Row],[Data do Pagamento / Compra]]&gt;Tabela1[[#This Row],[Data de Compra]],"Pago","Pago")))))</f>
        <v>Pago</v>
      </c>
    </row>
    <row r="255" spans="1:10" ht="21" hidden="1" customHeight="1" x14ac:dyDescent="0.2">
      <c r="A255" s="33" t="s">
        <v>55</v>
      </c>
      <c r="B255" s="34" t="s">
        <v>29</v>
      </c>
      <c r="C255" s="34" t="s">
        <v>12</v>
      </c>
      <c r="D255" s="34" t="s">
        <v>15</v>
      </c>
      <c r="E255" s="35">
        <v>14.98</v>
      </c>
      <c r="F255" s="36">
        <v>45359</v>
      </c>
      <c r="G255" s="36">
        <v>45359</v>
      </c>
      <c r="H255" s="37" t="str">
        <f>IFERROR(VLOOKUP(Tabela1[[#This Row],[Tag]],TAGS!$J$1:$K$11,2,0),"")</f>
        <v>Essencial</v>
      </c>
      <c r="I255" s="38" t="str">
        <f t="shared" si="3"/>
        <v>março</v>
      </c>
      <c r="J255" s="39" t="str">
        <f>IF(Tabela1[[#This Row],[Caixa]]="Receita","Recebido",IF(F255="","",IF(G255="","",IF(G255&lt;F255,"Pago atrasado",IF(Tabela1[[#This Row],[Data do Pagamento / Compra]]&gt;Tabela1[[#This Row],[Data de Compra]],"Pago","Pago")))))</f>
        <v>Pago</v>
      </c>
    </row>
    <row r="256" spans="1:10" ht="21" hidden="1" customHeight="1" x14ac:dyDescent="0.2">
      <c r="A256" s="33" t="s">
        <v>81</v>
      </c>
      <c r="B256" s="34" t="s">
        <v>29</v>
      </c>
      <c r="C256" s="34" t="s">
        <v>13</v>
      </c>
      <c r="D256" s="34" t="s">
        <v>15</v>
      </c>
      <c r="E256" s="35">
        <v>12</v>
      </c>
      <c r="F256" s="36">
        <v>45362</v>
      </c>
      <c r="G256" s="36">
        <v>45362</v>
      </c>
      <c r="H256" s="37" t="str">
        <f>IFERROR(VLOOKUP(Tabela1[[#This Row],[Tag]],TAGS!$J$1:$K$11,2,0),"")</f>
        <v>Essencial</v>
      </c>
      <c r="I256" s="38" t="str">
        <f t="shared" si="3"/>
        <v>março</v>
      </c>
      <c r="J256" s="39" t="str">
        <f>IF(Tabela1[[#This Row],[Caixa]]="Receita","Recebido",IF(F256="","",IF(G256="","",IF(G256&lt;F256,"Pago atrasado",IF(Tabela1[[#This Row],[Data do Pagamento / Compra]]&gt;Tabela1[[#This Row],[Data de Compra]],"Pago","Pago")))))</f>
        <v>Pago</v>
      </c>
    </row>
    <row r="257" spans="1:10" ht="21" hidden="1" customHeight="1" x14ac:dyDescent="0.2">
      <c r="A257" s="33" t="s">
        <v>168</v>
      </c>
      <c r="B257" s="34" t="s">
        <v>29</v>
      </c>
      <c r="C257" s="34" t="s">
        <v>21</v>
      </c>
      <c r="D257" s="34" t="s">
        <v>15</v>
      </c>
      <c r="E257" s="35">
        <v>9.99</v>
      </c>
      <c r="F257" s="36">
        <v>45364</v>
      </c>
      <c r="G257" s="36">
        <v>45364</v>
      </c>
      <c r="H257" s="37" t="str">
        <f>IFERROR(VLOOKUP(Tabela1[[#This Row],[Tag]],TAGS!$J$1:$K$11,2,0),"")</f>
        <v>Não essencial</v>
      </c>
      <c r="I257" s="38" t="str">
        <f t="shared" si="3"/>
        <v>março</v>
      </c>
      <c r="J257" s="39" t="str">
        <f>IF(Tabela1[[#This Row],[Caixa]]="Receita","Recebido",IF(F257="","",IF(G257="","",IF(G257&lt;F257,"Pago atrasado",IF(Tabela1[[#This Row],[Data do Pagamento / Compra]]&gt;Tabela1[[#This Row],[Data de Compra]],"Pago","Pago")))))</f>
        <v>Pago</v>
      </c>
    </row>
    <row r="258" spans="1:10" ht="21" hidden="1" customHeight="1" x14ac:dyDescent="0.2">
      <c r="A258" s="33" t="s">
        <v>81</v>
      </c>
      <c r="B258" s="34" t="s">
        <v>29</v>
      </c>
      <c r="C258" s="34" t="s">
        <v>13</v>
      </c>
      <c r="D258" s="34" t="s">
        <v>15</v>
      </c>
      <c r="E258" s="35">
        <v>16.2</v>
      </c>
      <c r="F258" s="36">
        <v>45364</v>
      </c>
      <c r="G258" s="36">
        <v>45364</v>
      </c>
      <c r="H258" s="37" t="str">
        <f>IFERROR(VLOOKUP(Tabela1[[#This Row],[Tag]],TAGS!$J$1:$K$11,2,0),"")</f>
        <v>Essencial</v>
      </c>
      <c r="I258" s="38" t="str">
        <f t="shared" si="3"/>
        <v>março</v>
      </c>
      <c r="J258" s="39" t="str">
        <f>IF(Tabela1[[#This Row],[Caixa]]="Receita","Recebido",IF(F258="","",IF(G258="","",IF(G258&lt;F258,"Pago atrasado",IF(Tabela1[[#This Row],[Data do Pagamento / Compra]]&gt;Tabela1[[#This Row],[Data de Compra]],"Pago","Pago")))))</f>
        <v>Pago</v>
      </c>
    </row>
    <row r="259" spans="1:10" ht="21" hidden="1" customHeight="1" x14ac:dyDescent="0.2">
      <c r="A259" s="33" t="s">
        <v>81</v>
      </c>
      <c r="B259" s="34" t="s">
        <v>29</v>
      </c>
      <c r="C259" s="34" t="s">
        <v>13</v>
      </c>
      <c r="D259" s="34" t="s">
        <v>15</v>
      </c>
      <c r="E259" s="35">
        <v>20.82</v>
      </c>
      <c r="F259" s="36">
        <v>45364</v>
      </c>
      <c r="G259" s="36">
        <v>45364</v>
      </c>
      <c r="H259" s="37" t="str">
        <f>IFERROR(VLOOKUP(Tabela1[[#This Row],[Tag]],TAGS!$J$1:$K$11,2,0),"")</f>
        <v>Essencial</v>
      </c>
      <c r="I259" s="38" t="str">
        <f t="shared" si="3"/>
        <v>março</v>
      </c>
      <c r="J259" s="39" t="str">
        <f>IF(Tabela1[[#This Row],[Caixa]]="Receita","Recebido",IF(F259="","",IF(G259="","",IF(G259&lt;F259,"Pago atrasado",IF(Tabela1[[#This Row],[Data do Pagamento / Compra]]&gt;Tabela1[[#This Row],[Data de Compra]],"Pago","Pago")))))</f>
        <v>Pago</v>
      </c>
    </row>
    <row r="260" spans="1:10" ht="21" hidden="1" customHeight="1" x14ac:dyDescent="0.2">
      <c r="A260" s="33" t="s">
        <v>81</v>
      </c>
      <c r="B260" s="34" t="s">
        <v>29</v>
      </c>
      <c r="C260" s="34" t="s">
        <v>13</v>
      </c>
      <c r="D260" s="34" t="s">
        <v>15</v>
      </c>
      <c r="E260" s="35">
        <v>22.41</v>
      </c>
      <c r="F260" s="36">
        <v>45364</v>
      </c>
      <c r="G260" s="36">
        <v>45364</v>
      </c>
      <c r="H260" s="37" t="str">
        <f>IFERROR(VLOOKUP(Tabela1[[#This Row],[Tag]],TAGS!$J$1:$K$11,2,0),"")</f>
        <v>Essencial</v>
      </c>
      <c r="I260" s="38" t="str">
        <f t="shared" ref="I260:I323" si="4">IF(G260="","",TEXT(G260,"mmmm"))</f>
        <v>março</v>
      </c>
      <c r="J260" s="39" t="str">
        <f>IF(Tabela1[[#This Row],[Caixa]]="Receita","Recebido",IF(F260="","",IF(G260="","",IF(G260&lt;F260,"Pago atrasado",IF(Tabela1[[#This Row],[Data do Pagamento / Compra]]&gt;Tabela1[[#This Row],[Data de Compra]],"Pago","Pago")))))</f>
        <v>Pago</v>
      </c>
    </row>
    <row r="261" spans="1:10" ht="21" hidden="1" customHeight="1" x14ac:dyDescent="0.2">
      <c r="A261" s="33" t="s">
        <v>94</v>
      </c>
      <c r="B261" s="34" t="s">
        <v>29</v>
      </c>
      <c r="C261" s="34" t="s">
        <v>21</v>
      </c>
      <c r="D261" s="34" t="s">
        <v>88</v>
      </c>
      <c r="E261" s="35">
        <v>34.9</v>
      </c>
      <c r="F261" s="36">
        <v>45361</v>
      </c>
      <c r="G261" s="36">
        <v>45392</v>
      </c>
      <c r="H261" s="37" t="str">
        <f>IFERROR(VLOOKUP(Tabela1[[#This Row],[Tag]],TAGS!$J$1:$K$11,2,0),"")</f>
        <v>Não essencial</v>
      </c>
      <c r="I261" s="38" t="str">
        <f t="shared" si="4"/>
        <v>abril</v>
      </c>
      <c r="J261" s="39" t="str">
        <f>IF(Tabela1[[#This Row],[Caixa]]="Receita","Recebido",IF(F261="","",IF(G261="","",IF(G261&lt;F261,"Pago atrasado",IF(Tabela1[[#This Row],[Data do Pagamento / Compra]]&gt;Tabela1[[#This Row],[Data de Compra]],"Pago","Pago")))))</f>
        <v>Pago</v>
      </c>
    </row>
    <row r="262" spans="1:10" ht="21" hidden="1" customHeight="1" x14ac:dyDescent="0.2">
      <c r="A262" s="33" t="s">
        <v>81</v>
      </c>
      <c r="B262" s="34" t="s">
        <v>29</v>
      </c>
      <c r="C262" s="34" t="s">
        <v>13</v>
      </c>
      <c r="D262" s="34" t="s">
        <v>88</v>
      </c>
      <c r="E262" s="35">
        <v>123.3</v>
      </c>
      <c r="F262" s="36">
        <v>45363</v>
      </c>
      <c r="G262" s="36">
        <v>45392</v>
      </c>
      <c r="H262" s="37" t="str">
        <f>IFERROR(VLOOKUP(Tabela1[[#This Row],[Tag]],TAGS!$J$1:$K$11,2,0),"")</f>
        <v>Essencial</v>
      </c>
      <c r="I262" s="38" t="str">
        <f t="shared" si="4"/>
        <v>abril</v>
      </c>
      <c r="J262" s="39" t="str">
        <f>IF(Tabela1[[#This Row],[Caixa]]="Receita","Recebido",IF(F262="","",IF(G262="","",IF(G262&lt;F262,"Pago atrasado",IF(Tabela1[[#This Row],[Data do Pagamento / Compra]]&gt;Tabela1[[#This Row],[Data de Compra]],"Pago","Pago")))))</f>
        <v>Pago</v>
      </c>
    </row>
    <row r="263" spans="1:10" ht="21" hidden="1" customHeight="1" x14ac:dyDescent="0.2">
      <c r="A263" s="33" t="s">
        <v>81</v>
      </c>
      <c r="B263" s="34" t="s">
        <v>29</v>
      </c>
      <c r="C263" s="34" t="s">
        <v>13</v>
      </c>
      <c r="D263" s="34" t="s">
        <v>88</v>
      </c>
      <c r="E263" s="35">
        <v>8.5</v>
      </c>
      <c r="F263" s="36">
        <v>45363</v>
      </c>
      <c r="G263" s="36">
        <v>45392</v>
      </c>
      <c r="H263" s="37" t="str">
        <f>IFERROR(VLOOKUP(Tabela1[[#This Row],[Tag]],TAGS!$J$1:$K$11,2,0),"")</f>
        <v>Essencial</v>
      </c>
      <c r="I263" s="38" t="str">
        <f t="shared" si="4"/>
        <v>abril</v>
      </c>
      <c r="J263" s="39" t="str">
        <f>IF(Tabela1[[#This Row],[Caixa]]="Receita","Recebido",IF(F263="","",IF(G263="","",IF(G263&lt;F263,"Pago atrasado",IF(Tabela1[[#This Row],[Data do Pagamento / Compra]]&gt;Tabela1[[#This Row],[Data de Compra]],"Pago","Pago")))))</f>
        <v>Pago</v>
      </c>
    </row>
    <row r="264" spans="1:10" ht="21" hidden="1" customHeight="1" x14ac:dyDescent="0.2">
      <c r="A264" s="33" t="s">
        <v>81</v>
      </c>
      <c r="B264" s="34" t="s">
        <v>29</v>
      </c>
      <c r="C264" s="34" t="s">
        <v>13</v>
      </c>
      <c r="D264" s="34" t="s">
        <v>88</v>
      </c>
      <c r="E264" s="35">
        <v>9.1999999999999993</v>
      </c>
      <c r="F264" s="36">
        <v>45363</v>
      </c>
      <c r="G264" s="36">
        <v>45392</v>
      </c>
      <c r="H264" s="37" t="str">
        <f>IFERROR(VLOOKUP(Tabela1[[#This Row],[Tag]],TAGS!$J$1:$K$11,2,0),"")</f>
        <v>Essencial</v>
      </c>
      <c r="I264" s="38" t="str">
        <f t="shared" si="4"/>
        <v>abril</v>
      </c>
      <c r="J264" s="39" t="str">
        <f>IF(Tabela1[[#This Row],[Caixa]]="Receita","Recebido",IF(F264="","",IF(G264="","",IF(G264&lt;F264,"Pago atrasado",IF(Tabela1[[#This Row],[Data do Pagamento / Compra]]&gt;Tabela1[[#This Row],[Data de Compra]],"Pago","Pago")))))</f>
        <v>Pago</v>
      </c>
    </row>
    <row r="265" spans="1:10" ht="21" hidden="1" customHeight="1" x14ac:dyDescent="0.2">
      <c r="A265" s="33" t="s">
        <v>81</v>
      </c>
      <c r="B265" s="34" t="s">
        <v>29</v>
      </c>
      <c r="C265" s="34" t="s">
        <v>13</v>
      </c>
      <c r="D265" s="34" t="s">
        <v>88</v>
      </c>
      <c r="E265" s="35">
        <v>17.760000000000002</v>
      </c>
      <c r="F265" s="36">
        <v>45363</v>
      </c>
      <c r="G265" s="36">
        <v>45392</v>
      </c>
      <c r="H265" s="37" t="str">
        <f>IFERROR(VLOOKUP(Tabela1[[#This Row],[Tag]],TAGS!$J$1:$K$11,2,0),"")</f>
        <v>Essencial</v>
      </c>
      <c r="I265" s="38" t="str">
        <f t="shared" si="4"/>
        <v>abril</v>
      </c>
      <c r="J265" s="39" t="str">
        <f>IF(Tabela1[[#This Row],[Caixa]]="Receita","Recebido",IF(F265="","",IF(G265="","",IF(G265&lt;F265,"Pago atrasado",IF(Tabela1[[#This Row],[Data do Pagamento / Compra]]&gt;Tabela1[[#This Row],[Data de Compra]],"Pago","Pago")))))</f>
        <v>Pago</v>
      </c>
    </row>
    <row r="266" spans="1:10" ht="21" customHeight="1" x14ac:dyDescent="0.2">
      <c r="A266" s="33" t="s">
        <v>124</v>
      </c>
      <c r="B266" s="34" t="s">
        <v>29</v>
      </c>
      <c r="C266" s="34" t="s">
        <v>12</v>
      </c>
      <c r="D266" s="34" t="s">
        <v>169</v>
      </c>
      <c r="E266" s="35">
        <v>176.79</v>
      </c>
      <c r="F266" s="36">
        <v>45363</v>
      </c>
      <c r="G266" s="36">
        <v>45388</v>
      </c>
      <c r="H266" s="37" t="str">
        <f>IFERROR(VLOOKUP(Tabela1[[#This Row],[Tag]],TAGS!$J$1:$K$11,2,0),"")</f>
        <v>Essencial</v>
      </c>
      <c r="I266" s="38" t="str">
        <f t="shared" si="4"/>
        <v>abril</v>
      </c>
      <c r="J266" s="39" t="str">
        <f>IF(Tabela1[[#This Row],[Caixa]]="Receita","Recebido",IF(F266="","",IF(G266="","",IF(G266&lt;F266,"Pago atrasado",IF(Tabela1[[#This Row],[Data do Pagamento / Compra]]&gt;Tabela1[[#This Row],[Data de Compra]],"Pago","Pago")))))</f>
        <v>Pago</v>
      </c>
    </row>
    <row r="267" spans="1:10" ht="21" customHeight="1" x14ac:dyDescent="0.2">
      <c r="A267" s="33" t="s">
        <v>124</v>
      </c>
      <c r="B267" s="34" t="s">
        <v>29</v>
      </c>
      <c r="C267" s="34" t="s">
        <v>12</v>
      </c>
      <c r="D267" s="34" t="s">
        <v>169</v>
      </c>
      <c r="E267" s="35">
        <v>282.93</v>
      </c>
      <c r="F267" s="36">
        <v>45352</v>
      </c>
      <c r="G267" s="36">
        <v>45388</v>
      </c>
      <c r="H267" s="37" t="str">
        <f>IFERROR(VLOOKUP(Tabela1[[#This Row],[Tag]],TAGS!$J$1:$K$11,2,0),"")</f>
        <v>Essencial</v>
      </c>
      <c r="I267" s="38" t="str">
        <f t="shared" si="4"/>
        <v>abril</v>
      </c>
      <c r="J267" s="39" t="str">
        <f>IF(Tabela1[[#This Row],[Caixa]]="Receita","Recebido",IF(F267="","",IF(G267="","",IF(G267&lt;F267,"Pago atrasado",IF(Tabela1[[#This Row],[Data do Pagamento / Compra]]&gt;Tabela1[[#This Row],[Data de Compra]],"Pago","Pago")))))</f>
        <v>Pago</v>
      </c>
    </row>
    <row r="268" spans="1:10" ht="21" hidden="1" customHeight="1" x14ac:dyDescent="0.2">
      <c r="A268" s="33" t="s">
        <v>49</v>
      </c>
      <c r="B268" s="34" t="s">
        <v>29</v>
      </c>
      <c r="C268" s="34" t="s">
        <v>47</v>
      </c>
      <c r="D268" s="34" t="s">
        <v>15</v>
      </c>
      <c r="E268" s="35">
        <v>13.07</v>
      </c>
      <c r="F268" s="36">
        <v>45364</v>
      </c>
      <c r="G268" s="36">
        <v>45364</v>
      </c>
      <c r="H268" s="37" t="str">
        <f>IFERROR(VLOOKUP(Tabela1[[#This Row],[Tag]],TAGS!$J$1:$K$11,2,0),"")</f>
        <v>Essencial</v>
      </c>
      <c r="I268" s="38" t="str">
        <f t="shared" si="4"/>
        <v>março</v>
      </c>
      <c r="J268" s="39" t="str">
        <f>IF(Tabela1[[#This Row],[Caixa]]="Receita","Recebido",IF(F268="","",IF(G268="","",IF(G268&lt;F268,"Pago atrasado",IF(Tabela1[[#This Row],[Data do Pagamento / Compra]]&gt;Tabela1[[#This Row],[Data de Compra]],"Pago","Pago")))))</f>
        <v>Pago</v>
      </c>
    </row>
    <row r="269" spans="1:10" ht="21" hidden="1" customHeight="1" x14ac:dyDescent="0.2">
      <c r="A269" s="33" t="s">
        <v>81</v>
      </c>
      <c r="B269" s="34" t="s">
        <v>29</v>
      </c>
      <c r="C269" s="34" t="s">
        <v>13</v>
      </c>
      <c r="D269" s="34" t="s">
        <v>15</v>
      </c>
      <c r="E269" s="35">
        <v>18.71</v>
      </c>
      <c r="F269" s="36">
        <v>45365</v>
      </c>
      <c r="G269" s="36">
        <v>45365</v>
      </c>
      <c r="H269" s="37" t="str">
        <f>IFERROR(VLOOKUP(Tabela1[[#This Row],[Tag]],TAGS!$J$1:$K$11,2,0),"")</f>
        <v>Essencial</v>
      </c>
      <c r="I269" s="38" t="str">
        <f t="shared" si="4"/>
        <v>março</v>
      </c>
      <c r="J269" s="39" t="str">
        <f>IF(Tabela1[[#This Row],[Caixa]]="Receita","Recebido",IF(F269="","",IF(G269="","",IF(G269&lt;F269,"Pago atrasado",IF(Tabela1[[#This Row],[Data do Pagamento / Compra]]&gt;Tabela1[[#This Row],[Data de Compra]],"Pago","Pago")))))</f>
        <v>Pago</v>
      </c>
    </row>
    <row r="270" spans="1:10" ht="21" hidden="1" customHeight="1" x14ac:dyDescent="0.2">
      <c r="A270" s="33" t="s">
        <v>81</v>
      </c>
      <c r="B270" s="34" t="s">
        <v>29</v>
      </c>
      <c r="C270" s="34" t="s">
        <v>13</v>
      </c>
      <c r="D270" s="34" t="s">
        <v>15</v>
      </c>
      <c r="E270" s="35">
        <v>20</v>
      </c>
      <c r="F270" s="36">
        <v>45365</v>
      </c>
      <c r="G270" s="36">
        <v>45365</v>
      </c>
      <c r="H270" s="37" t="str">
        <f>IFERROR(VLOOKUP(Tabela1[[#This Row],[Tag]],TAGS!$J$1:$K$11,2,0),"")</f>
        <v>Essencial</v>
      </c>
      <c r="I270" s="38" t="str">
        <f t="shared" si="4"/>
        <v>março</v>
      </c>
      <c r="J270" s="39" t="str">
        <f>IF(Tabela1[[#This Row],[Caixa]]="Receita","Recebido",IF(F270="","",IF(G270="","",IF(G270&lt;F270,"Pago atrasado",IF(Tabela1[[#This Row],[Data do Pagamento / Compra]]&gt;Tabela1[[#This Row],[Data de Compra]],"Pago","Pago")))))</f>
        <v>Pago</v>
      </c>
    </row>
    <row r="271" spans="1:10" ht="21" hidden="1" customHeight="1" x14ac:dyDescent="0.2">
      <c r="A271" s="33" t="s">
        <v>81</v>
      </c>
      <c r="B271" s="34" t="s">
        <v>29</v>
      </c>
      <c r="C271" s="34" t="s">
        <v>13</v>
      </c>
      <c r="D271" s="34" t="s">
        <v>15</v>
      </c>
      <c r="E271" s="35">
        <v>12.7</v>
      </c>
      <c r="F271" s="36">
        <v>45366</v>
      </c>
      <c r="G271" s="36">
        <v>45366</v>
      </c>
      <c r="H271" s="37" t="str">
        <f>IFERROR(VLOOKUP(Tabela1[[#This Row],[Tag]],TAGS!$J$1:$K$11,2,0),"")</f>
        <v>Essencial</v>
      </c>
      <c r="I271" s="38" t="str">
        <f t="shared" si="4"/>
        <v>março</v>
      </c>
      <c r="J271" s="39" t="str">
        <f>IF(Tabela1[[#This Row],[Caixa]]="Receita","Recebido",IF(F271="","",IF(G271="","",IF(G271&lt;F271,"Pago atrasado",IF(Tabela1[[#This Row],[Data do Pagamento / Compra]]&gt;Tabela1[[#This Row],[Data de Compra]],"Pago","Pago")))))</f>
        <v>Pago</v>
      </c>
    </row>
    <row r="272" spans="1:10" ht="21" hidden="1" customHeight="1" x14ac:dyDescent="0.2">
      <c r="A272" s="33" t="s">
        <v>81</v>
      </c>
      <c r="B272" s="34" t="s">
        <v>29</v>
      </c>
      <c r="C272" s="34" t="s">
        <v>13</v>
      </c>
      <c r="D272" s="34" t="s">
        <v>15</v>
      </c>
      <c r="E272" s="35">
        <v>12.9</v>
      </c>
      <c r="F272" s="36">
        <v>45366</v>
      </c>
      <c r="G272" s="36">
        <v>45366</v>
      </c>
      <c r="H272" s="37" t="str">
        <f>IFERROR(VLOOKUP(Tabela1[[#This Row],[Tag]],TAGS!$J$1:$K$11,2,0),"")</f>
        <v>Essencial</v>
      </c>
      <c r="I272" s="38" t="str">
        <f t="shared" si="4"/>
        <v>março</v>
      </c>
      <c r="J272" s="39" t="str">
        <f>IF(Tabela1[[#This Row],[Caixa]]="Receita","Recebido",IF(F272="","",IF(G272="","",IF(G272&lt;F272,"Pago atrasado",IF(Tabela1[[#This Row],[Data do Pagamento / Compra]]&gt;Tabela1[[#This Row],[Data de Compra]],"Pago","Pago")))))</f>
        <v>Pago</v>
      </c>
    </row>
    <row r="273" spans="1:10" ht="21" customHeight="1" x14ac:dyDescent="0.2">
      <c r="A273" s="33" t="s">
        <v>124</v>
      </c>
      <c r="B273" s="34" t="s">
        <v>29</v>
      </c>
      <c r="C273" s="34" t="s">
        <v>12</v>
      </c>
      <c r="D273" s="34" t="s">
        <v>169</v>
      </c>
      <c r="E273" s="35">
        <v>75.180000000000007</v>
      </c>
      <c r="F273" s="36">
        <v>45366</v>
      </c>
      <c r="G273" s="36">
        <v>45388</v>
      </c>
      <c r="H273" s="37" t="str">
        <f>IFERROR(VLOOKUP(Tabela1[[#This Row],[Tag]],TAGS!$J$1:$K$11,2,0),"")</f>
        <v>Essencial</v>
      </c>
      <c r="I273" s="38" t="str">
        <f t="shared" si="4"/>
        <v>abril</v>
      </c>
      <c r="J273" s="39" t="str">
        <f>IF(Tabela1[[#This Row],[Caixa]]="Receita","Recebido",IF(F273="","",IF(G273="","",IF(G273&lt;F273,"Pago atrasado",IF(Tabela1[[#This Row],[Data do Pagamento / Compra]]&gt;Tabela1[[#This Row],[Data de Compra]],"Pago","Pago")))))</f>
        <v>Pago</v>
      </c>
    </row>
    <row r="274" spans="1:10" ht="21" hidden="1" customHeight="1" x14ac:dyDescent="0.2">
      <c r="A274" s="33" t="s">
        <v>170</v>
      </c>
      <c r="B274" s="34" t="s">
        <v>29</v>
      </c>
      <c r="C274" s="34" t="s">
        <v>14</v>
      </c>
      <c r="D274" s="34" t="s">
        <v>89</v>
      </c>
      <c r="E274" s="35">
        <v>55.9</v>
      </c>
      <c r="F274" s="36">
        <v>45366</v>
      </c>
      <c r="G274" s="36"/>
      <c r="H274" s="37" t="str">
        <f>IFERROR(VLOOKUP(Tabela1[[#This Row],[Tag]],TAGS!$J$1:$K$11,2,0),"")</f>
        <v>Não essencial</v>
      </c>
      <c r="I274" s="38" t="str">
        <f t="shared" si="4"/>
        <v/>
      </c>
      <c r="J274" s="39" t="str">
        <f>IF(Tabela1[[#This Row],[Caixa]]="Receita","Recebido",IF(F274="","",IF(G274="","",IF(G274&lt;F274,"Pago atrasado",IF(Tabela1[[#This Row],[Data do Pagamento / Compra]]&gt;Tabela1[[#This Row],[Data de Compra]],"Pago","Pago")))))</f>
        <v/>
      </c>
    </row>
    <row r="275" spans="1:10" ht="21" hidden="1" customHeight="1" x14ac:dyDescent="0.2">
      <c r="A275" s="33" t="s">
        <v>55</v>
      </c>
      <c r="B275" s="34" t="s">
        <v>29</v>
      </c>
      <c r="C275" s="34" t="s">
        <v>14</v>
      </c>
      <c r="D275" s="34" t="s">
        <v>15</v>
      </c>
      <c r="E275" s="35">
        <v>17.98</v>
      </c>
      <c r="F275" s="36">
        <v>45367</v>
      </c>
      <c r="G275" s="36">
        <v>45367</v>
      </c>
      <c r="H275" s="37" t="str">
        <f>IFERROR(VLOOKUP(Tabela1[[#This Row],[Tag]],TAGS!$J$1:$K$11,2,0),"")</f>
        <v>Não essencial</v>
      </c>
      <c r="I275" s="38" t="str">
        <f t="shared" si="4"/>
        <v>março</v>
      </c>
      <c r="J275" s="39" t="str">
        <f>IF(Tabela1[[#This Row],[Caixa]]="Receita","Recebido",IF(F275="","",IF(G275="","",IF(G275&lt;F275,"Pago atrasado",IF(Tabela1[[#This Row],[Data do Pagamento / Compra]]&gt;Tabela1[[#This Row],[Data de Compra]],"Pago","Pago")))))</f>
        <v>Pago</v>
      </c>
    </row>
    <row r="276" spans="1:10" ht="21" hidden="1" customHeight="1" x14ac:dyDescent="0.2">
      <c r="A276" s="33" t="s">
        <v>81</v>
      </c>
      <c r="B276" s="34" t="s">
        <v>29</v>
      </c>
      <c r="C276" s="34" t="s">
        <v>13</v>
      </c>
      <c r="D276" s="34" t="s">
        <v>15</v>
      </c>
      <c r="E276" s="35">
        <v>18.68</v>
      </c>
      <c r="F276" s="36">
        <v>45369</v>
      </c>
      <c r="G276" s="36">
        <v>45369</v>
      </c>
      <c r="H276" s="37" t="str">
        <f>IFERROR(VLOOKUP(Tabela1[[#This Row],[Tag]],TAGS!$J$1:$K$11,2,0),"")</f>
        <v>Essencial</v>
      </c>
      <c r="I276" s="38" t="str">
        <f t="shared" si="4"/>
        <v>março</v>
      </c>
      <c r="J276" s="39" t="str">
        <f>IF(Tabela1[[#This Row],[Caixa]]="Receita","Recebido",IF(F276="","",IF(G276="","",IF(G276&lt;F276,"Pago atrasado",IF(Tabela1[[#This Row],[Data do Pagamento / Compra]]&gt;Tabela1[[#This Row],[Data de Compra]],"Pago","Pago")))))</f>
        <v>Pago</v>
      </c>
    </row>
    <row r="277" spans="1:10" ht="21" hidden="1" customHeight="1" x14ac:dyDescent="0.2">
      <c r="A277" s="33" t="s">
        <v>91</v>
      </c>
      <c r="B277" s="34" t="s">
        <v>29</v>
      </c>
      <c r="C277" s="34" t="s">
        <v>47</v>
      </c>
      <c r="D277" s="34" t="s">
        <v>88</v>
      </c>
      <c r="E277" s="35">
        <v>109</v>
      </c>
      <c r="F277" s="36">
        <v>45367</v>
      </c>
      <c r="G277" s="36">
        <v>45392</v>
      </c>
      <c r="H277" s="37" t="str">
        <f>IFERROR(VLOOKUP(Tabela1[[#This Row],[Tag]],TAGS!$J$1:$K$11,2,0),"")</f>
        <v>Essencial</v>
      </c>
      <c r="I277" s="38" t="str">
        <f t="shared" si="4"/>
        <v>abril</v>
      </c>
      <c r="J277" s="39" t="str">
        <f>IF(Tabela1[[#This Row],[Caixa]]="Receita","Recebido",IF(F277="","",IF(G277="","",IF(G277&lt;F277,"Pago atrasado",IF(Tabela1[[#This Row],[Data do Pagamento / Compra]]&gt;Tabela1[[#This Row],[Data de Compra]],"Pago","Pago")))))</f>
        <v>Pago</v>
      </c>
    </row>
    <row r="278" spans="1:10" ht="21" hidden="1" customHeight="1" x14ac:dyDescent="0.2">
      <c r="A278" s="33" t="s">
        <v>171</v>
      </c>
      <c r="B278" s="34" t="s">
        <v>29</v>
      </c>
      <c r="C278" s="34" t="s">
        <v>14</v>
      </c>
      <c r="D278" s="34" t="s">
        <v>88</v>
      </c>
      <c r="E278" s="35">
        <v>19.899999999999999</v>
      </c>
      <c r="F278" s="36">
        <v>45367</v>
      </c>
      <c r="G278" s="36">
        <v>45392</v>
      </c>
      <c r="H278" s="37" t="str">
        <f>IFERROR(VLOOKUP(Tabela1[[#This Row],[Tag]],TAGS!$J$1:$K$11,2,0),"")</f>
        <v>Não essencial</v>
      </c>
      <c r="I278" s="38" t="str">
        <f t="shared" si="4"/>
        <v>abril</v>
      </c>
      <c r="J278" s="39" t="str">
        <f>IF(Tabela1[[#This Row],[Caixa]]="Receita","Recebido",IF(F278="","",IF(G278="","",IF(G278&lt;F278,"Pago atrasado",IF(Tabela1[[#This Row],[Data do Pagamento / Compra]]&gt;Tabela1[[#This Row],[Data de Compra]],"Pago","Pago")))))</f>
        <v>Pago</v>
      </c>
    </row>
    <row r="279" spans="1:10" ht="21" hidden="1" customHeight="1" x14ac:dyDescent="0.2">
      <c r="A279" s="33" t="s">
        <v>81</v>
      </c>
      <c r="B279" s="34" t="s">
        <v>29</v>
      </c>
      <c r="C279" s="34" t="s">
        <v>13</v>
      </c>
      <c r="D279" s="34" t="s">
        <v>88</v>
      </c>
      <c r="E279" s="35">
        <v>17.3</v>
      </c>
      <c r="F279" s="36">
        <v>45370</v>
      </c>
      <c r="G279" s="36">
        <v>45392</v>
      </c>
      <c r="H279" s="37" t="str">
        <f>IFERROR(VLOOKUP(Tabela1[[#This Row],[Tag]],TAGS!$J$1:$K$11,2,0),"")</f>
        <v>Essencial</v>
      </c>
      <c r="I279" s="38" t="str">
        <f t="shared" si="4"/>
        <v>abril</v>
      </c>
      <c r="J279" s="39" t="str">
        <f>IF(Tabela1[[#This Row],[Caixa]]="Receita","Recebido",IF(F279="","",IF(G279="","",IF(G279&lt;F279,"Pago atrasado",IF(Tabela1[[#This Row],[Data do Pagamento / Compra]]&gt;Tabela1[[#This Row],[Data de Compra]],"Pago","Pago")))))</f>
        <v>Pago</v>
      </c>
    </row>
    <row r="280" spans="1:10" ht="21" hidden="1" customHeight="1" x14ac:dyDescent="0.2">
      <c r="A280" s="33" t="s">
        <v>81</v>
      </c>
      <c r="B280" s="34" t="s">
        <v>29</v>
      </c>
      <c r="C280" s="34" t="s">
        <v>13</v>
      </c>
      <c r="D280" s="34" t="s">
        <v>88</v>
      </c>
      <c r="E280" s="35">
        <v>12.15</v>
      </c>
      <c r="F280" s="36">
        <v>45370</v>
      </c>
      <c r="G280" s="36">
        <v>45392</v>
      </c>
      <c r="H280" s="37" t="str">
        <f>IFERROR(VLOOKUP(Tabela1[[#This Row],[Tag]],TAGS!$J$1:$K$11,2,0),"")</f>
        <v>Essencial</v>
      </c>
      <c r="I280" s="38" t="str">
        <f t="shared" si="4"/>
        <v>abril</v>
      </c>
      <c r="J280" s="39" t="str">
        <f>IF(Tabela1[[#This Row],[Caixa]]="Receita","Recebido",IF(F280="","",IF(G280="","",IF(G280&lt;F280,"Pago atrasado",IF(Tabela1[[#This Row],[Data do Pagamento / Compra]]&gt;Tabela1[[#This Row],[Data de Compra]],"Pago","Pago")))))</f>
        <v>Pago</v>
      </c>
    </row>
    <row r="281" spans="1:10" ht="21" hidden="1" customHeight="1" x14ac:dyDescent="0.2">
      <c r="A281" s="33" t="s">
        <v>81</v>
      </c>
      <c r="B281" s="34" t="s">
        <v>29</v>
      </c>
      <c r="C281" s="34" t="s">
        <v>13</v>
      </c>
      <c r="D281" s="34" t="s">
        <v>88</v>
      </c>
      <c r="E281" s="35">
        <v>17.2</v>
      </c>
      <c r="F281" s="36">
        <v>45370</v>
      </c>
      <c r="G281" s="36">
        <v>45392</v>
      </c>
      <c r="H281" s="37" t="str">
        <f>IFERROR(VLOOKUP(Tabela1[[#This Row],[Tag]],TAGS!$J$1:$K$11,2,0),"")</f>
        <v>Essencial</v>
      </c>
      <c r="I281" s="38" t="str">
        <f t="shared" si="4"/>
        <v>abril</v>
      </c>
      <c r="J281" s="39" t="str">
        <f>IF(Tabela1[[#This Row],[Caixa]]="Receita","Recebido",IF(F281="","",IF(G281="","",IF(G281&lt;F281,"Pago atrasado",IF(Tabela1[[#This Row],[Data do Pagamento / Compra]]&gt;Tabela1[[#This Row],[Data de Compra]],"Pago","Pago")))))</f>
        <v>Pago</v>
      </c>
    </row>
    <row r="282" spans="1:10" ht="21" hidden="1" customHeight="1" x14ac:dyDescent="0.2">
      <c r="A282" s="33" t="s">
        <v>81</v>
      </c>
      <c r="B282" s="34" t="s">
        <v>29</v>
      </c>
      <c r="C282" s="34" t="s">
        <v>13</v>
      </c>
      <c r="D282" s="34" t="s">
        <v>88</v>
      </c>
      <c r="E282" s="35">
        <v>9.4499999999999993</v>
      </c>
      <c r="F282" s="36">
        <v>45371</v>
      </c>
      <c r="G282" s="36">
        <v>45392</v>
      </c>
      <c r="H282" s="37" t="str">
        <f>IFERROR(VLOOKUP(Tabela1[[#This Row],[Tag]],TAGS!$J$1:$K$11,2,0),"")</f>
        <v>Essencial</v>
      </c>
      <c r="I282" s="38" t="str">
        <f t="shared" si="4"/>
        <v>abril</v>
      </c>
      <c r="J282" s="39" t="str">
        <f>IF(Tabela1[[#This Row],[Caixa]]="Receita","Recebido",IF(F282="","",IF(G282="","",IF(G282&lt;F282,"Pago atrasado",IF(Tabela1[[#This Row],[Data do Pagamento / Compra]]&gt;Tabela1[[#This Row],[Data de Compra]],"Pago","Pago")))))</f>
        <v>Pago</v>
      </c>
    </row>
    <row r="283" spans="1:10" ht="21" hidden="1" customHeight="1" x14ac:dyDescent="0.2">
      <c r="A283" s="33" t="s">
        <v>81</v>
      </c>
      <c r="B283" s="34" t="s">
        <v>29</v>
      </c>
      <c r="C283" s="34" t="s">
        <v>13</v>
      </c>
      <c r="D283" s="34" t="s">
        <v>88</v>
      </c>
      <c r="E283" s="35">
        <v>33</v>
      </c>
      <c r="F283" s="36">
        <v>45371</v>
      </c>
      <c r="G283" s="36">
        <v>45392</v>
      </c>
      <c r="H283" s="37" t="str">
        <f>IFERROR(VLOOKUP(Tabela1[[#This Row],[Tag]],TAGS!$J$1:$K$11,2,0),"")</f>
        <v>Essencial</v>
      </c>
      <c r="I283" s="38" t="str">
        <f t="shared" si="4"/>
        <v>abril</v>
      </c>
      <c r="J283" s="39" t="str">
        <f>IF(Tabela1[[#This Row],[Caixa]]="Receita","Recebido",IF(F283="","",IF(G283="","",IF(G283&lt;F283,"Pago atrasado",IF(Tabela1[[#This Row],[Data do Pagamento / Compra]]&gt;Tabela1[[#This Row],[Data de Compra]],"Pago","Pago")))))</f>
        <v>Pago</v>
      </c>
    </row>
    <row r="284" spans="1:10" ht="21" hidden="1" customHeight="1" x14ac:dyDescent="0.2">
      <c r="A284" s="33" t="s">
        <v>81</v>
      </c>
      <c r="B284" s="34" t="s">
        <v>29</v>
      </c>
      <c r="C284" s="34" t="s">
        <v>13</v>
      </c>
      <c r="D284" s="34" t="s">
        <v>88</v>
      </c>
      <c r="E284" s="35">
        <v>13.1</v>
      </c>
      <c r="F284" s="36">
        <v>45371</v>
      </c>
      <c r="G284" s="36">
        <v>45392</v>
      </c>
      <c r="H284" s="37" t="str">
        <f>IFERROR(VLOOKUP(Tabela1[[#This Row],[Tag]],TAGS!$J$1:$K$11,2,0),"")</f>
        <v>Essencial</v>
      </c>
      <c r="I284" s="38" t="str">
        <f t="shared" si="4"/>
        <v>abril</v>
      </c>
      <c r="J284" s="39" t="str">
        <f>IF(Tabela1[[#This Row],[Caixa]]="Receita","Recebido",IF(F284="","",IF(G284="","",IF(G284&lt;F284,"Pago atrasado",IF(Tabela1[[#This Row],[Data do Pagamento / Compra]]&gt;Tabela1[[#This Row],[Data de Compra]],"Pago","Pago")))))</f>
        <v>Pago</v>
      </c>
    </row>
    <row r="285" spans="1:10" ht="21" hidden="1" customHeight="1" x14ac:dyDescent="0.2">
      <c r="A285" s="33" t="s">
        <v>81</v>
      </c>
      <c r="B285" s="34" t="s">
        <v>29</v>
      </c>
      <c r="C285" s="34" t="s">
        <v>13</v>
      </c>
      <c r="D285" s="34" t="s">
        <v>88</v>
      </c>
      <c r="E285" s="35">
        <v>13.98</v>
      </c>
      <c r="F285" s="36">
        <v>45372</v>
      </c>
      <c r="G285" s="36">
        <v>45392</v>
      </c>
      <c r="H285" s="37" t="str">
        <f>IFERROR(VLOOKUP(Tabela1[[#This Row],[Tag]],TAGS!$J$1:$K$11,2,0),"")</f>
        <v>Essencial</v>
      </c>
      <c r="I285" s="38" t="str">
        <f t="shared" si="4"/>
        <v>abril</v>
      </c>
      <c r="J285" s="39" t="str">
        <f>IF(Tabela1[[#This Row],[Caixa]]="Receita","Recebido",IF(F285="","",IF(G285="","",IF(G285&lt;F285,"Pago atrasado",IF(Tabela1[[#This Row],[Data do Pagamento / Compra]]&gt;Tabela1[[#This Row],[Data de Compra]],"Pago","Pago")))))</f>
        <v>Pago</v>
      </c>
    </row>
    <row r="286" spans="1:10" ht="21" hidden="1" customHeight="1" x14ac:dyDescent="0.2">
      <c r="A286" s="33" t="s">
        <v>81</v>
      </c>
      <c r="B286" s="34" t="s">
        <v>29</v>
      </c>
      <c r="C286" s="34" t="s">
        <v>13</v>
      </c>
      <c r="D286" s="34" t="s">
        <v>88</v>
      </c>
      <c r="E286" s="35">
        <v>16.600000000000001</v>
      </c>
      <c r="F286" s="36">
        <v>45372</v>
      </c>
      <c r="G286" s="36">
        <v>45392</v>
      </c>
      <c r="H286" s="37" t="str">
        <f>IFERROR(VLOOKUP(Tabela1[[#This Row],[Tag]],TAGS!$J$1:$K$11,2,0),"")</f>
        <v>Essencial</v>
      </c>
      <c r="I286" s="38" t="str">
        <f t="shared" si="4"/>
        <v>abril</v>
      </c>
      <c r="J286" s="39" t="str">
        <f>IF(Tabela1[[#This Row],[Caixa]]="Receita","Recebido",IF(F286="","",IF(G286="","",IF(G286&lt;F286,"Pago atrasado",IF(Tabela1[[#This Row],[Data do Pagamento / Compra]]&gt;Tabela1[[#This Row],[Data de Compra]],"Pago","Pago")))))</f>
        <v>Pago</v>
      </c>
    </row>
    <row r="287" spans="1:10" ht="21" hidden="1" customHeight="1" x14ac:dyDescent="0.2">
      <c r="A287" s="33" t="s">
        <v>81</v>
      </c>
      <c r="B287" s="34" t="s">
        <v>29</v>
      </c>
      <c r="C287" s="34" t="s">
        <v>13</v>
      </c>
      <c r="D287" s="34" t="s">
        <v>88</v>
      </c>
      <c r="E287" s="35">
        <v>16.8</v>
      </c>
      <c r="F287" s="36">
        <v>45373</v>
      </c>
      <c r="G287" s="36">
        <v>45392</v>
      </c>
      <c r="H287" s="37" t="str">
        <f>IFERROR(VLOOKUP(Tabela1[[#This Row],[Tag]],TAGS!$J$1:$K$11,2,0),"")</f>
        <v>Essencial</v>
      </c>
      <c r="I287" s="38" t="str">
        <f t="shared" si="4"/>
        <v>abril</v>
      </c>
      <c r="J287" s="39" t="str">
        <f>IF(Tabela1[[#This Row],[Caixa]]="Receita","Recebido",IF(F287="","",IF(G287="","",IF(G287&lt;F287,"Pago atrasado",IF(Tabela1[[#This Row],[Data do Pagamento / Compra]]&gt;Tabela1[[#This Row],[Data de Compra]],"Pago","Pago")))))</f>
        <v>Pago</v>
      </c>
    </row>
    <row r="288" spans="1:10" ht="21" hidden="1" customHeight="1" x14ac:dyDescent="0.2">
      <c r="A288" s="33" t="s">
        <v>81</v>
      </c>
      <c r="B288" s="34" t="s">
        <v>29</v>
      </c>
      <c r="C288" s="34" t="s">
        <v>13</v>
      </c>
      <c r="D288" s="34" t="s">
        <v>88</v>
      </c>
      <c r="E288" s="35">
        <v>8.19</v>
      </c>
      <c r="F288" s="36">
        <v>45373</v>
      </c>
      <c r="G288" s="36">
        <v>45392</v>
      </c>
      <c r="H288" s="37" t="str">
        <f>IFERROR(VLOOKUP(Tabela1[[#This Row],[Tag]],TAGS!$J$1:$K$11,2,0),"")</f>
        <v>Essencial</v>
      </c>
      <c r="I288" s="38" t="str">
        <f t="shared" si="4"/>
        <v>abril</v>
      </c>
      <c r="J288" s="39" t="str">
        <f>IF(Tabela1[[#This Row],[Caixa]]="Receita","Recebido",IF(F288="","",IF(G288="","",IF(G288&lt;F288,"Pago atrasado",IF(Tabela1[[#This Row],[Data do Pagamento / Compra]]&gt;Tabela1[[#This Row],[Data de Compra]],"Pago","Pago")))))</f>
        <v>Pago</v>
      </c>
    </row>
    <row r="289" spans="1:10" ht="21" hidden="1" customHeight="1" x14ac:dyDescent="0.2">
      <c r="A289" s="33" t="s">
        <v>81</v>
      </c>
      <c r="B289" s="34" t="s">
        <v>29</v>
      </c>
      <c r="C289" s="34" t="s">
        <v>13</v>
      </c>
      <c r="D289" s="34" t="s">
        <v>88</v>
      </c>
      <c r="E289" s="35">
        <v>11.9</v>
      </c>
      <c r="F289" s="36">
        <v>45373</v>
      </c>
      <c r="G289" s="36">
        <v>45392</v>
      </c>
      <c r="H289" s="37" t="str">
        <f>IFERROR(VLOOKUP(Tabela1[[#This Row],[Tag]],TAGS!$J$1:$K$11,2,0),"")</f>
        <v>Essencial</v>
      </c>
      <c r="I289" s="38" t="str">
        <f t="shared" si="4"/>
        <v>abril</v>
      </c>
      <c r="J289" s="39" t="str">
        <f>IF(Tabela1[[#This Row],[Caixa]]="Receita","Recebido",IF(F289="","",IF(G289="","",IF(G289&lt;F289,"Pago atrasado",IF(Tabela1[[#This Row],[Data do Pagamento / Compra]]&gt;Tabela1[[#This Row],[Data de Compra]],"Pago","Pago")))))</f>
        <v>Pago</v>
      </c>
    </row>
    <row r="290" spans="1:10" ht="21" customHeight="1" x14ac:dyDescent="0.2">
      <c r="A290" s="33" t="s">
        <v>124</v>
      </c>
      <c r="B290" s="34" t="s">
        <v>29</v>
      </c>
      <c r="C290" s="34" t="s">
        <v>12</v>
      </c>
      <c r="D290" s="34" t="s">
        <v>169</v>
      </c>
      <c r="E290" s="35">
        <v>96</v>
      </c>
      <c r="F290" s="36">
        <v>45373</v>
      </c>
      <c r="G290" s="36">
        <v>45418</v>
      </c>
      <c r="H290" s="37" t="str">
        <f>IFERROR(VLOOKUP(Tabela1[[#This Row],[Tag]],TAGS!$J$1:$K$11,2,0),"")</f>
        <v>Essencial</v>
      </c>
      <c r="I290" s="38" t="str">
        <f t="shared" si="4"/>
        <v>maio</v>
      </c>
      <c r="J290" s="39" t="str">
        <f>IF(Tabela1[[#This Row],[Caixa]]="Receita","Recebido",IF(F290="","",IF(G290="","",IF(G290&lt;F290,"Pago atrasado",IF(Tabela1[[#This Row],[Data do Pagamento / Compra]]&gt;Tabela1[[#This Row],[Data de Compra]],"Pago","Pago")))))</f>
        <v>Pago</v>
      </c>
    </row>
    <row r="291" spans="1:10" ht="21" hidden="1" customHeight="1" x14ac:dyDescent="0.2">
      <c r="A291" s="33" t="s">
        <v>31</v>
      </c>
      <c r="B291" s="34" t="s">
        <v>28</v>
      </c>
      <c r="C291" s="34" t="s">
        <v>31</v>
      </c>
      <c r="D291" s="34" t="s">
        <v>33</v>
      </c>
      <c r="E291" s="35">
        <v>893</v>
      </c>
      <c r="F291" s="36">
        <v>45373</v>
      </c>
      <c r="G291" s="36">
        <v>45373</v>
      </c>
      <c r="H291" s="37" t="str">
        <f>IFERROR(VLOOKUP(Tabela1[[#This Row],[Tag]],TAGS!$J$1:$K$11,2,0),"")</f>
        <v>Receita</v>
      </c>
      <c r="I291" s="38" t="str">
        <f t="shared" si="4"/>
        <v>março</v>
      </c>
      <c r="J291" s="39" t="str">
        <f>IF(Tabela1[[#This Row],[Caixa]]="Receita","Recebido",IF(F291="","",IF(G291="","",IF(G291&lt;F291,"Pago atrasado",IF(Tabela1[[#This Row],[Data do Pagamento / Compra]]&gt;Tabela1[[#This Row],[Data de Compra]],"Pago","Pago")))))</f>
        <v>Recebido</v>
      </c>
    </row>
    <row r="292" spans="1:10" ht="21" hidden="1" customHeight="1" x14ac:dyDescent="0.2">
      <c r="A292" s="33" t="s">
        <v>186</v>
      </c>
      <c r="B292" s="34" t="s">
        <v>29</v>
      </c>
      <c r="C292" s="34" t="s">
        <v>41</v>
      </c>
      <c r="D292" s="34" t="s">
        <v>5</v>
      </c>
      <c r="E292" s="35">
        <v>150</v>
      </c>
      <c r="F292" s="36">
        <v>45373</v>
      </c>
      <c r="G292" s="36">
        <v>45373</v>
      </c>
      <c r="H292" s="37" t="str">
        <f>IFERROR(VLOOKUP(Tabela1[[#This Row],[Tag]],TAGS!$J$1:$K$11,2,0),"")</f>
        <v>Investimento</v>
      </c>
      <c r="I292" s="38" t="str">
        <f t="shared" si="4"/>
        <v>março</v>
      </c>
      <c r="J292" s="39" t="str">
        <f>IF(Tabela1[[#This Row],[Caixa]]="Receita","Recebido",IF(F292="","",IF(G292="","",IF(G292&lt;F292,"Pago atrasado",IF(Tabela1[[#This Row],[Data do Pagamento / Compra]]&gt;Tabela1[[#This Row],[Data de Compra]],"Pago","Pago")))))</f>
        <v>Pago</v>
      </c>
    </row>
    <row r="293" spans="1:10" ht="21" hidden="1" customHeight="1" x14ac:dyDescent="0.2">
      <c r="A293" s="33" t="s">
        <v>173</v>
      </c>
      <c r="B293" s="34" t="s">
        <v>29</v>
      </c>
      <c r="C293" s="34" t="s">
        <v>13</v>
      </c>
      <c r="D293" s="34" t="s">
        <v>15</v>
      </c>
      <c r="E293" s="35">
        <v>11</v>
      </c>
      <c r="F293" s="36">
        <v>45376</v>
      </c>
      <c r="G293" s="36">
        <v>45376</v>
      </c>
      <c r="H293" s="37" t="str">
        <f>IFERROR(VLOOKUP(Tabela1[[#This Row],[Tag]],TAGS!$J$1:$K$11,2,0),"")</f>
        <v>Essencial</v>
      </c>
      <c r="I293" s="38" t="str">
        <f t="shared" si="4"/>
        <v>março</v>
      </c>
      <c r="J293" s="39" t="str">
        <f>IF(Tabela1[[#This Row],[Caixa]]="Receita","Recebido",IF(F293="","",IF(G293="","",IF(G293&lt;F293,"Pago atrasado",IF(Tabela1[[#This Row],[Data do Pagamento / Compra]]&gt;Tabela1[[#This Row],[Data de Compra]],"Pago","Pago")))))</f>
        <v>Pago</v>
      </c>
    </row>
    <row r="294" spans="1:10" ht="21" hidden="1" customHeight="1" x14ac:dyDescent="0.2">
      <c r="A294" s="33" t="s">
        <v>174</v>
      </c>
      <c r="B294" s="34" t="s">
        <v>29</v>
      </c>
      <c r="C294" s="34" t="s">
        <v>14</v>
      </c>
      <c r="D294" s="34" t="s">
        <v>15</v>
      </c>
      <c r="E294" s="35">
        <v>9.5</v>
      </c>
      <c r="F294" s="36">
        <v>45376</v>
      </c>
      <c r="G294" s="36">
        <v>45376</v>
      </c>
      <c r="H294" s="37" t="str">
        <f>IFERROR(VLOOKUP(Tabela1[[#This Row],[Tag]],TAGS!$J$1:$K$11,2,0),"")</f>
        <v>Não essencial</v>
      </c>
      <c r="I294" s="38" t="str">
        <f t="shared" si="4"/>
        <v>março</v>
      </c>
      <c r="J294" s="39" t="str">
        <f>IF(Tabela1[[#This Row],[Caixa]]="Receita","Recebido",IF(F294="","",IF(G294="","",IF(G294&lt;F294,"Pago atrasado",IF(Tabela1[[#This Row],[Data do Pagamento / Compra]]&gt;Tabela1[[#This Row],[Data de Compra]],"Pago","Pago")))))</f>
        <v>Pago</v>
      </c>
    </row>
    <row r="295" spans="1:10" ht="21" hidden="1" customHeight="1" x14ac:dyDescent="0.2">
      <c r="A295" s="33" t="s">
        <v>104</v>
      </c>
      <c r="B295" s="34" t="s">
        <v>29</v>
      </c>
      <c r="C295" s="34" t="s">
        <v>14</v>
      </c>
      <c r="D295" s="34" t="s">
        <v>15</v>
      </c>
      <c r="E295" s="35">
        <v>8.9</v>
      </c>
      <c r="F295" s="36">
        <v>45376</v>
      </c>
      <c r="G295" s="36">
        <v>45376</v>
      </c>
      <c r="H295" s="37" t="str">
        <f>IFERROR(VLOOKUP(Tabela1[[#This Row],[Tag]],TAGS!$J$1:$K$11,2,0),"")</f>
        <v>Não essencial</v>
      </c>
      <c r="I295" s="38" t="str">
        <f t="shared" si="4"/>
        <v>março</v>
      </c>
      <c r="J295" s="39" t="str">
        <f>IF(Tabela1[[#This Row],[Caixa]]="Receita","Recebido",IF(F295="","",IF(G295="","",IF(G295&lt;F295,"Pago atrasado",IF(Tabela1[[#This Row],[Data do Pagamento / Compra]]&gt;Tabela1[[#This Row],[Data de Compra]],"Pago","Pago")))))</f>
        <v>Pago</v>
      </c>
    </row>
    <row r="296" spans="1:10" ht="21" hidden="1" customHeight="1" x14ac:dyDescent="0.2">
      <c r="A296" s="33" t="s">
        <v>127</v>
      </c>
      <c r="B296" s="34" t="s">
        <v>29</v>
      </c>
      <c r="C296" s="34" t="s">
        <v>12</v>
      </c>
      <c r="D296" s="34" t="s">
        <v>15</v>
      </c>
      <c r="E296" s="35">
        <v>18</v>
      </c>
      <c r="F296" s="36">
        <v>45376</v>
      </c>
      <c r="G296" s="36">
        <v>45376</v>
      </c>
      <c r="H296" s="37" t="str">
        <f>IFERROR(VLOOKUP(Tabela1[[#This Row],[Tag]],TAGS!$J$1:$K$11,2,0),"")</f>
        <v>Essencial</v>
      </c>
      <c r="I296" s="38" t="str">
        <f t="shared" si="4"/>
        <v>março</v>
      </c>
      <c r="J296" s="39" t="str">
        <f>IF(Tabela1[[#This Row],[Caixa]]="Receita","Recebido",IF(F296="","",IF(G296="","",IF(G296&lt;F296,"Pago atrasado",IF(Tabela1[[#This Row],[Data do Pagamento / Compra]]&gt;Tabela1[[#This Row],[Data de Compra]],"Pago","Pago")))))</f>
        <v>Pago</v>
      </c>
    </row>
    <row r="297" spans="1:10" ht="21" hidden="1" customHeight="1" x14ac:dyDescent="0.2">
      <c r="A297" s="33" t="s">
        <v>175</v>
      </c>
      <c r="B297" s="34" t="s">
        <v>29</v>
      </c>
      <c r="C297" s="34" t="s">
        <v>12</v>
      </c>
      <c r="D297" s="34" t="s">
        <v>15</v>
      </c>
      <c r="E297" s="35">
        <v>6.99</v>
      </c>
      <c r="F297" s="36">
        <v>45379</v>
      </c>
      <c r="G297" s="36">
        <v>45379</v>
      </c>
      <c r="H297" s="37" t="str">
        <f>IFERROR(VLOOKUP(Tabela1[[#This Row],[Tag]],TAGS!$J$1:$K$11,2,0),"")</f>
        <v>Essencial</v>
      </c>
      <c r="I297" s="38" t="str">
        <f t="shared" si="4"/>
        <v>março</v>
      </c>
      <c r="J297" s="39" t="str">
        <f>IF(Tabela1[[#This Row],[Caixa]]="Receita","Recebido",IF(F297="","",IF(G297="","",IF(G297&lt;F297,"Pago atrasado",IF(Tabela1[[#This Row],[Data do Pagamento / Compra]]&gt;Tabela1[[#This Row],[Data de Compra]],"Pago","Pago")))))</f>
        <v>Pago</v>
      </c>
    </row>
    <row r="298" spans="1:10" ht="21" hidden="1" customHeight="1" x14ac:dyDescent="0.2">
      <c r="A298" s="33" t="s">
        <v>176</v>
      </c>
      <c r="B298" s="34" t="s">
        <v>29</v>
      </c>
      <c r="C298" s="34" t="s">
        <v>12</v>
      </c>
      <c r="D298" s="34" t="s">
        <v>15</v>
      </c>
      <c r="E298" s="35">
        <v>31.63</v>
      </c>
      <c r="F298" s="36">
        <v>45379</v>
      </c>
      <c r="G298" s="36">
        <v>45379</v>
      </c>
      <c r="H298" s="37" t="str">
        <f>IFERROR(VLOOKUP(Tabela1[[#This Row],[Tag]],TAGS!$J$1:$K$11,2,0),"")</f>
        <v>Essencial</v>
      </c>
      <c r="I298" s="38" t="str">
        <f t="shared" si="4"/>
        <v>março</v>
      </c>
      <c r="J298" s="39" t="str">
        <f>IF(Tabela1[[#This Row],[Caixa]]="Receita","Recebido",IF(F298="","",IF(G298="","",IF(G298&lt;F298,"Pago atrasado",IF(Tabela1[[#This Row],[Data do Pagamento / Compra]]&gt;Tabela1[[#This Row],[Data de Compra]],"Pago","Pago")))))</f>
        <v>Pago</v>
      </c>
    </row>
    <row r="299" spans="1:10" ht="21" hidden="1" customHeight="1" x14ac:dyDescent="0.2">
      <c r="A299" s="33" t="s">
        <v>177</v>
      </c>
      <c r="B299" s="34" t="s">
        <v>29</v>
      </c>
      <c r="C299" s="34" t="s">
        <v>47</v>
      </c>
      <c r="D299" s="34" t="s">
        <v>15</v>
      </c>
      <c r="E299" s="35">
        <v>10.35</v>
      </c>
      <c r="F299" s="36">
        <v>45379</v>
      </c>
      <c r="G299" s="36">
        <v>45379</v>
      </c>
      <c r="H299" s="37" t="str">
        <f>IFERROR(VLOOKUP(Tabela1[[#This Row],[Tag]],TAGS!$J$1:$K$11,2,0),"")</f>
        <v>Essencial</v>
      </c>
      <c r="I299" s="38" t="str">
        <f t="shared" si="4"/>
        <v>março</v>
      </c>
      <c r="J299" s="39" t="str">
        <f>IF(Tabela1[[#This Row],[Caixa]]="Receita","Recebido",IF(F299="","",IF(G299="","",IF(G299&lt;F299,"Pago atrasado",IF(Tabela1[[#This Row],[Data do Pagamento / Compra]]&gt;Tabela1[[#This Row],[Data de Compra]],"Pago","Pago")))))</f>
        <v>Pago</v>
      </c>
    </row>
    <row r="300" spans="1:10" ht="21" hidden="1" customHeight="1" x14ac:dyDescent="0.2">
      <c r="A300" s="33" t="s">
        <v>81</v>
      </c>
      <c r="B300" s="34" t="s">
        <v>29</v>
      </c>
      <c r="C300" s="34" t="s">
        <v>13</v>
      </c>
      <c r="D300" s="34" t="s">
        <v>88</v>
      </c>
      <c r="E300" s="35">
        <v>13.72</v>
      </c>
      <c r="F300" s="36">
        <v>45376</v>
      </c>
      <c r="G300" s="36">
        <v>45392</v>
      </c>
      <c r="H300" s="37" t="str">
        <f>IFERROR(VLOOKUP(Tabela1[[#This Row],[Tag]],TAGS!$J$1:$K$11,2,0),"")</f>
        <v>Essencial</v>
      </c>
      <c r="I300" s="38" t="str">
        <f t="shared" si="4"/>
        <v>abril</v>
      </c>
      <c r="J300" s="39" t="str">
        <f>IF(Tabela1[[#This Row],[Caixa]]="Receita","Recebido",IF(F300="","",IF(G300="","",IF(G300&lt;F300,"Pago atrasado",IF(Tabela1[[#This Row],[Data do Pagamento / Compra]]&gt;Tabela1[[#This Row],[Data de Compra]],"Pago","Pago")))))</f>
        <v>Pago</v>
      </c>
    </row>
    <row r="301" spans="1:10" ht="21" hidden="1" customHeight="1" x14ac:dyDescent="0.2">
      <c r="A301" s="33" t="s">
        <v>93</v>
      </c>
      <c r="B301" s="34" t="s">
        <v>29</v>
      </c>
      <c r="C301" s="34" t="s">
        <v>14</v>
      </c>
      <c r="D301" s="34" t="s">
        <v>88</v>
      </c>
      <c r="E301" s="35">
        <v>146</v>
      </c>
      <c r="F301" s="36">
        <v>45378</v>
      </c>
      <c r="G301" s="36">
        <v>45392</v>
      </c>
      <c r="H301" s="37" t="str">
        <f>IFERROR(VLOOKUP(Tabela1[[#This Row],[Tag]],TAGS!$J$1:$K$11,2,0),"")</f>
        <v>Não essencial</v>
      </c>
      <c r="I301" s="38" t="str">
        <f t="shared" si="4"/>
        <v>abril</v>
      </c>
      <c r="J301" s="39" t="str">
        <f>IF(Tabela1[[#This Row],[Caixa]]="Receita","Recebido",IF(F301="","",IF(G301="","",IF(G301&lt;F301,"Pago atrasado",IF(Tabela1[[#This Row],[Data do Pagamento / Compra]]&gt;Tabela1[[#This Row],[Data de Compra]],"Pago","Pago")))))</f>
        <v>Pago</v>
      </c>
    </row>
    <row r="302" spans="1:10" ht="21" hidden="1" customHeight="1" x14ac:dyDescent="0.2">
      <c r="A302" s="33" t="s">
        <v>81</v>
      </c>
      <c r="B302" s="34" t="s">
        <v>29</v>
      </c>
      <c r="C302" s="34" t="s">
        <v>13</v>
      </c>
      <c r="D302" s="34" t="s">
        <v>88</v>
      </c>
      <c r="E302" s="35">
        <v>12.7</v>
      </c>
      <c r="F302" s="36">
        <v>45376</v>
      </c>
      <c r="G302" s="36">
        <v>45392</v>
      </c>
      <c r="H302" s="37" t="str">
        <f>IFERROR(VLOOKUP(Tabela1[[#This Row],[Tag]],TAGS!$J$1:$K$11,2,0),"")</f>
        <v>Essencial</v>
      </c>
      <c r="I302" s="38" t="str">
        <f t="shared" si="4"/>
        <v>abril</v>
      </c>
      <c r="J302" s="39" t="str">
        <f>IF(Tabela1[[#This Row],[Caixa]]="Receita","Recebido",IF(F302="","",IF(G302="","",IF(G302&lt;F302,"Pago atrasado",IF(Tabela1[[#This Row],[Data do Pagamento / Compra]]&gt;Tabela1[[#This Row],[Data de Compra]],"Pago","Pago")))))</f>
        <v>Pago</v>
      </c>
    </row>
    <row r="303" spans="1:10" ht="21" hidden="1" customHeight="1" x14ac:dyDescent="0.2">
      <c r="A303" s="33" t="s">
        <v>81</v>
      </c>
      <c r="B303" s="34" t="s">
        <v>29</v>
      </c>
      <c r="C303" s="34" t="s">
        <v>13</v>
      </c>
      <c r="D303" s="34" t="s">
        <v>88</v>
      </c>
      <c r="E303" s="35">
        <v>12.15</v>
      </c>
      <c r="F303" s="36">
        <v>45377</v>
      </c>
      <c r="G303" s="36">
        <v>45392</v>
      </c>
      <c r="H303" s="37" t="str">
        <f>IFERROR(VLOOKUP(Tabela1[[#This Row],[Tag]],TAGS!$J$1:$K$11,2,0),"")</f>
        <v>Essencial</v>
      </c>
      <c r="I303" s="38" t="str">
        <f t="shared" si="4"/>
        <v>abril</v>
      </c>
      <c r="J303" s="39" t="str">
        <f>IF(Tabela1[[#This Row],[Caixa]]="Receita","Recebido",IF(F303="","",IF(G303="","",IF(G303&lt;F303,"Pago atrasado",IF(Tabela1[[#This Row],[Data do Pagamento / Compra]]&gt;Tabela1[[#This Row],[Data de Compra]],"Pago","Pago")))))</f>
        <v>Pago</v>
      </c>
    </row>
    <row r="304" spans="1:10" ht="21" hidden="1" customHeight="1" x14ac:dyDescent="0.2">
      <c r="A304" s="33" t="s">
        <v>81</v>
      </c>
      <c r="B304" s="34" t="s">
        <v>29</v>
      </c>
      <c r="C304" s="34" t="s">
        <v>13</v>
      </c>
      <c r="D304" s="34" t="s">
        <v>88</v>
      </c>
      <c r="E304" s="35">
        <v>9.9</v>
      </c>
      <c r="F304" s="36">
        <v>45379</v>
      </c>
      <c r="G304" s="36">
        <v>45392</v>
      </c>
      <c r="H304" s="37" t="str">
        <f>IFERROR(VLOOKUP(Tabela1[[#This Row],[Tag]],TAGS!$J$1:$K$11,2,0),"")</f>
        <v>Essencial</v>
      </c>
      <c r="I304" s="38" t="str">
        <f t="shared" si="4"/>
        <v>abril</v>
      </c>
      <c r="J304" s="39" t="str">
        <f>IF(Tabela1[[#This Row],[Caixa]]="Receita","Recebido",IF(F304="","",IF(G304="","",IF(G304&lt;F304,"Pago atrasado",IF(Tabela1[[#This Row],[Data do Pagamento / Compra]]&gt;Tabela1[[#This Row],[Data de Compra]],"Pago","Pago")))))</f>
        <v>Pago</v>
      </c>
    </row>
    <row r="305" spans="1:10" ht="21" hidden="1" customHeight="1" x14ac:dyDescent="0.2">
      <c r="A305" s="33" t="s">
        <v>81</v>
      </c>
      <c r="B305" s="34" t="s">
        <v>29</v>
      </c>
      <c r="C305" s="34" t="s">
        <v>13</v>
      </c>
      <c r="D305" s="34" t="s">
        <v>88</v>
      </c>
      <c r="E305" s="35">
        <v>25.1</v>
      </c>
      <c r="F305" s="36">
        <v>45379</v>
      </c>
      <c r="G305" s="36">
        <v>45392</v>
      </c>
      <c r="H305" s="37" t="str">
        <f>IFERROR(VLOOKUP(Tabela1[[#This Row],[Tag]],TAGS!$J$1:$K$11,2,0),"")</f>
        <v>Essencial</v>
      </c>
      <c r="I305" s="38" t="str">
        <f t="shared" si="4"/>
        <v>abril</v>
      </c>
      <c r="J305" s="39" t="str">
        <f>IF(Tabela1[[#This Row],[Caixa]]="Receita","Recebido",IF(F305="","",IF(G305="","",IF(G305&lt;F305,"Pago atrasado",IF(Tabela1[[#This Row],[Data do Pagamento / Compra]]&gt;Tabela1[[#This Row],[Data de Compra]],"Pago","Pago")))))</f>
        <v>Pago</v>
      </c>
    </row>
    <row r="306" spans="1:10" ht="21" hidden="1" customHeight="1" x14ac:dyDescent="0.2">
      <c r="A306" s="33" t="s">
        <v>178</v>
      </c>
      <c r="B306" s="34" t="s">
        <v>29</v>
      </c>
      <c r="C306" s="34" t="s">
        <v>14</v>
      </c>
      <c r="D306" s="34" t="s">
        <v>15</v>
      </c>
      <c r="E306" s="35">
        <v>24</v>
      </c>
      <c r="F306" s="36">
        <v>45375</v>
      </c>
      <c r="G306" s="36">
        <v>45375</v>
      </c>
      <c r="H306" s="37" t="str">
        <f>IFERROR(VLOOKUP(Tabela1[[#This Row],[Tag]],TAGS!$J$1:$K$11,2,0),"")</f>
        <v>Não essencial</v>
      </c>
      <c r="I306" s="38" t="str">
        <f t="shared" si="4"/>
        <v>março</v>
      </c>
      <c r="J306" s="39" t="str">
        <f>IF(Tabela1[[#This Row],[Caixa]]="Receita","Recebido",IF(F306="","",IF(G306="","",IF(G306&lt;F306,"Pago atrasado",IF(Tabela1[[#This Row],[Data do Pagamento / Compra]]&gt;Tabela1[[#This Row],[Data de Compra]],"Pago","Pago")))))</f>
        <v>Pago</v>
      </c>
    </row>
    <row r="307" spans="1:10" ht="21" hidden="1" customHeight="1" x14ac:dyDescent="0.2">
      <c r="A307" s="33" t="s">
        <v>104</v>
      </c>
      <c r="B307" s="34" t="s">
        <v>29</v>
      </c>
      <c r="C307" s="34" t="s">
        <v>14</v>
      </c>
      <c r="D307" s="34" t="s">
        <v>15</v>
      </c>
      <c r="E307" s="35">
        <v>8.9</v>
      </c>
      <c r="F307" s="36">
        <v>45375</v>
      </c>
      <c r="G307" s="36">
        <v>45375</v>
      </c>
      <c r="H307" s="37" t="str">
        <f>IFERROR(VLOOKUP(Tabela1[[#This Row],[Tag]],TAGS!$J$1:$K$11,2,0),"")</f>
        <v>Não essencial</v>
      </c>
      <c r="I307" s="38" t="str">
        <f t="shared" si="4"/>
        <v>março</v>
      </c>
      <c r="J307" s="39" t="str">
        <f>IF(Tabela1[[#This Row],[Caixa]]="Receita","Recebido",IF(F307="","",IF(G307="","",IF(G307&lt;F307,"Pago atrasado",IF(Tabela1[[#This Row],[Data do Pagamento / Compra]]&gt;Tabela1[[#This Row],[Data de Compra]],"Pago","Pago")))))</f>
        <v>Pago</v>
      </c>
    </row>
    <row r="308" spans="1:10" ht="21" hidden="1" customHeight="1" x14ac:dyDescent="0.2">
      <c r="A308" s="33" t="s">
        <v>179</v>
      </c>
      <c r="B308" s="34" t="s">
        <v>29</v>
      </c>
      <c r="C308" s="34" t="s">
        <v>14</v>
      </c>
      <c r="D308" s="34" t="s">
        <v>15</v>
      </c>
      <c r="E308" s="35">
        <v>24.18</v>
      </c>
      <c r="F308" s="36">
        <v>45375</v>
      </c>
      <c r="G308" s="36">
        <v>45375</v>
      </c>
      <c r="H308" s="37" t="str">
        <f>IFERROR(VLOOKUP(Tabela1[[#This Row],[Tag]],TAGS!$J$1:$K$11,2,0),"")</f>
        <v>Não essencial</v>
      </c>
      <c r="I308" s="38" t="str">
        <f t="shared" si="4"/>
        <v>março</v>
      </c>
      <c r="J308" s="39" t="str">
        <f>IF(Tabela1[[#This Row],[Caixa]]="Receita","Recebido",IF(F308="","",IF(G308="","",IF(G308&lt;F308,"Pago atrasado",IF(Tabela1[[#This Row],[Data do Pagamento / Compra]]&gt;Tabela1[[#This Row],[Data de Compra]],"Pago","Pago")))))</f>
        <v>Pago</v>
      </c>
    </row>
    <row r="309" spans="1:10" ht="21" hidden="1" customHeight="1" x14ac:dyDescent="0.2">
      <c r="A309" s="33" t="s">
        <v>180</v>
      </c>
      <c r="B309" s="34" t="s">
        <v>29</v>
      </c>
      <c r="C309" s="34" t="s">
        <v>47</v>
      </c>
      <c r="D309" s="34" t="s">
        <v>15</v>
      </c>
      <c r="E309" s="35">
        <v>62</v>
      </c>
      <c r="F309" s="36">
        <v>45375</v>
      </c>
      <c r="G309" s="36">
        <v>45375</v>
      </c>
      <c r="H309" s="37" t="str">
        <f>IFERROR(VLOOKUP(Tabela1[[#This Row],[Tag]],TAGS!$J$1:$K$11,2,0),"")</f>
        <v>Essencial</v>
      </c>
      <c r="I309" s="38" t="str">
        <f t="shared" si="4"/>
        <v>março</v>
      </c>
      <c r="J309" s="39" t="str">
        <f>IF(Tabela1[[#This Row],[Caixa]]="Receita","Recebido",IF(F309="","",IF(G309="","",IF(G309&lt;F309,"Pago atrasado",IF(Tabela1[[#This Row],[Data do Pagamento / Compra]]&gt;Tabela1[[#This Row],[Data de Compra]],"Pago","Pago")))))</f>
        <v>Pago</v>
      </c>
    </row>
    <row r="310" spans="1:10" ht="21" hidden="1" customHeight="1" x14ac:dyDescent="0.2">
      <c r="A310" s="33" t="s">
        <v>31</v>
      </c>
      <c r="B310" s="34" t="s">
        <v>28</v>
      </c>
      <c r="C310" s="34" t="s">
        <v>31</v>
      </c>
      <c r="D310" s="34" t="s">
        <v>33</v>
      </c>
      <c r="E310" s="35">
        <v>3068</v>
      </c>
      <c r="F310" s="36">
        <v>45356</v>
      </c>
      <c r="G310" s="36">
        <v>45356</v>
      </c>
      <c r="H310" s="37" t="str">
        <f>IFERROR(VLOOKUP(Tabela1[[#This Row],[Tag]],TAGS!$J$1:$K$11,2,0),"")</f>
        <v>Receita</v>
      </c>
      <c r="I310" s="38" t="str">
        <f t="shared" si="4"/>
        <v>março</v>
      </c>
      <c r="J310" s="39" t="str">
        <f>IF(Tabela1[[#This Row],[Caixa]]="Receita","Recebido",IF(F310="","",IF(G310="","",IF(G310&lt;F310,"Pago atrasado",IF(Tabela1[[#This Row],[Data do Pagamento / Compra]]&gt;Tabela1[[#This Row],[Data de Compra]],"Pago","Pago")))))</f>
        <v>Recebido</v>
      </c>
    </row>
    <row r="311" spans="1:10" ht="21" hidden="1" customHeight="1" x14ac:dyDescent="0.2">
      <c r="A311" s="33" t="s">
        <v>181</v>
      </c>
      <c r="B311" s="34" t="s">
        <v>29</v>
      </c>
      <c r="C311" s="34" t="s">
        <v>14</v>
      </c>
      <c r="D311" s="34" t="s">
        <v>15</v>
      </c>
      <c r="E311" s="35">
        <v>17.97</v>
      </c>
      <c r="F311" s="36">
        <v>45356</v>
      </c>
      <c r="G311" s="36">
        <v>45356</v>
      </c>
      <c r="H311" s="37" t="str">
        <f>IFERROR(VLOOKUP(Tabela1[[#This Row],[Tag]],TAGS!$J$1:$K$11,2,0),"")</f>
        <v>Não essencial</v>
      </c>
      <c r="I311" s="38" t="str">
        <f t="shared" si="4"/>
        <v>março</v>
      </c>
      <c r="J311" s="39" t="str">
        <f>IF(Tabela1[[#This Row],[Caixa]]="Receita","Recebido",IF(F311="","",IF(G311="","",IF(G311&lt;F311,"Pago atrasado",IF(Tabela1[[#This Row],[Data do Pagamento / Compra]]&gt;Tabela1[[#This Row],[Data de Compra]],"Pago","Pago")))))</f>
        <v>Pago</v>
      </c>
    </row>
    <row r="312" spans="1:10" ht="21" hidden="1" customHeight="1" x14ac:dyDescent="0.2">
      <c r="A312" s="33" t="s">
        <v>178</v>
      </c>
      <c r="B312" s="34" t="s">
        <v>29</v>
      </c>
      <c r="C312" s="34" t="s">
        <v>14</v>
      </c>
      <c r="D312" s="34" t="s">
        <v>15</v>
      </c>
      <c r="E312" s="35">
        <v>23</v>
      </c>
      <c r="F312" s="36">
        <v>45356</v>
      </c>
      <c r="G312" s="36">
        <v>45356</v>
      </c>
      <c r="H312" s="37" t="str">
        <f>IFERROR(VLOOKUP(Tabela1[[#This Row],[Tag]],TAGS!$J$1:$K$11,2,0),"")</f>
        <v>Não essencial</v>
      </c>
      <c r="I312" s="38" t="str">
        <f t="shared" si="4"/>
        <v>março</v>
      </c>
      <c r="J312" s="39" t="str">
        <f>IF(Tabela1[[#This Row],[Caixa]]="Receita","Recebido",IF(F312="","",IF(G312="","",IF(G312&lt;F312,"Pago atrasado",IF(Tabela1[[#This Row],[Data do Pagamento / Compra]]&gt;Tabela1[[#This Row],[Data de Compra]],"Pago","Pago")))))</f>
        <v>Pago</v>
      </c>
    </row>
    <row r="313" spans="1:10" ht="21" hidden="1" customHeight="1" x14ac:dyDescent="0.2">
      <c r="A313" s="33" t="s">
        <v>81</v>
      </c>
      <c r="B313" s="34" t="s">
        <v>29</v>
      </c>
      <c r="C313" s="34" t="s">
        <v>13</v>
      </c>
      <c r="D313" s="34" t="s">
        <v>88</v>
      </c>
      <c r="E313" s="35">
        <v>12.6</v>
      </c>
      <c r="F313" s="36">
        <v>45381</v>
      </c>
      <c r="G313" s="36">
        <v>45392</v>
      </c>
      <c r="H313" s="37" t="str">
        <f>IFERROR(VLOOKUP(Tabela1[[#This Row],[Tag]],TAGS!$J$1:$K$11,2,0),"")</f>
        <v>Essencial</v>
      </c>
      <c r="I313" s="38" t="str">
        <f t="shared" si="4"/>
        <v>abril</v>
      </c>
      <c r="J313" s="39" t="str">
        <f>IF(Tabela1[[#This Row],[Caixa]]="Receita","Recebido",IF(F313="","",IF(G313="","",IF(G313&lt;F313,"Pago atrasado",IF(Tabela1[[#This Row],[Data do Pagamento / Compra]]&gt;Tabela1[[#This Row],[Data de Compra]],"Pago","Pago")))))</f>
        <v>Pago</v>
      </c>
    </row>
    <row r="314" spans="1:10" ht="21" hidden="1" customHeight="1" x14ac:dyDescent="0.2">
      <c r="A314" s="33" t="s">
        <v>81</v>
      </c>
      <c r="B314" s="34" t="s">
        <v>29</v>
      </c>
      <c r="C314" s="34" t="s">
        <v>13</v>
      </c>
      <c r="D314" s="34" t="s">
        <v>88</v>
      </c>
      <c r="E314" s="35">
        <v>15.8</v>
      </c>
      <c r="F314" s="36">
        <v>45381</v>
      </c>
      <c r="G314" s="36">
        <v>45392</v>
      </c>
      <c r="H314" s="37" t="str">
        <f>IFERROR(VLOOKUP(Tabela1[[#This Row],[Tag]],TAGS!$J$1:$K$11,2,0),"")</f>
        <v>Essencial</v>
      </c>
      <c r="I314" s="38" t="str">
        <f t="shared" si="4"/>
        <v>abril</v>
      </c>
      <c r="J314" s="39" t="str">
        <f>IF(Tabela1[[#This Row],[Caixa]]="Receita","Recebido",IF(F314="","",IF(G314="","",IF(G314&lt;F314,"Pago atrasado",IF(Tabela1[[#This Row],[Data do Pagamento / Compra]]&gt;Tabela1[[#This Row],[Data de Compra]],"Pago","Pago")))))</f>
        <v>Pago</v>
      </c>
    </row>
    <row r="315" spans="1:10" ht="21" hidden="1" customHeight="1" x14ac:dyDescent="0.2">
      <c r="A315" s="33" t="s">
        <v>81</v>
      </c>
      <c r="B315" s="34" t="s">
        <v>29</v>
      </c>
      <c r="C315" s="34" t="s">
        <v>13</v>
      </c>
      <c r="D315" s="34" t="s">
        <v>88</v>
      </c>
      <c r="E315" s="35">
        <v>12.7</v>
      </c>
      <c r="F315" s="36">
        <v>45383</v>
      </c>
      <c r="G315" s="36">
        <v>45392</v>
      </c>
      <c r="H315" s="37" t="str">
        <f>IFERROR(VLOOKUP(Tabela1[[#This Row],[Tag]],TAGS!$J$1:$K$11,2,0),"")</f>
        <v>Essencial</v>
      </c>
      <c r="I315" s="38" t="str">
        <f t="shared" si="4"/>
        <v>abril</v>
      </c>
      <c r="J315" s="39" t="str">
        <f>IF(Tabela1[[#This Row],[Caixa]]="Receita","Recebido",IF(F315="","",IF(G315="","",IF(G315&lt;F315,"Pago atrasado",IF(Tabela1[[#This Row],[Data do Pagamento / Compra]]&gt;Tabela1[[#This Row],[Data de Compra]],"Pago","Pago")))))</f>
        <v>Pago</v>
      </c>
    </row>
    <row r="316" spans="1:10" ht="21" hidden="1" customHeight="1" x14ac:dyDescent="0.2">
      <c r="A316" s="33" t="s">
        <v>81</v>
      </c>
      <c r="B316" s="34" t="s">
        <v>29</v>
      </c>
      <c r="C316" s="34" t="s">
        <v>13</v>
      </c>
      <c r="D316" s="34" t="s">
        <v>88</v>
      </c>
      <c r="E316" s="35">
        <v>16.899999999999999</v>
      </c>
      <c r="F316" s="36">
        <v>45384</v>
      </c>
      <c r="G316" s="36">
        <v>45392</v>
      </c>
      <c r="H316" s="37" t="str">
        <f>IFERROR(VLOOKUP(Tabela1[[#This Row],[Tag]],TAGS!$J$1:$K$11,2,0),"")</f>
        <v>Essencial</v>
      </c>
      <c r="I316" s="38" t="str">
        <f t="shared" si="4"/>
        <v>abril</v>
      </c>
      <c r="J316" s="39" t="str">
        <f>IF(Tabela1[[#This Row],[Caixa]]="Receita","Recebido",IF(F316="","",IF(G316="","",IF(G316&lt;F316,"Pago atrasado",IF(Tabela1[[#This Row],[Data do Pagamento / Compra]]&gt;Tabela1[[#This Row],[Data de Compra]],"Pago","Pago")))))</f>
        <v>Pago</v>
      </c>
    </row>
    <row r="317" spans="1:10" ht="21" hidden="1" customHeight="1" x14ac:dyDescent="0.2">
      <c r="A317" s="33" t="s">
        <v>81</v>
      </c>
      <c r="B317" s="34" t="s">
        <v>29</v>
      </c>
      <c r="C317" s="34" t="s">
        <v>13</v>
      </c>
      <c r="D317" s="34" t="s">
        <v>88</v>
      </c>
      <c r="E317" s="35">
        <v>15</v>
      </c>
      <c r="F317" s="36">
        <v>45385</v>
      </c>
      <c r="G317" s="36">
        <v>45392</v>
      </c>
      <c r="H317" s="37" t="str">
        <f>IFERROR(VLOOKUP(Tabela1[[#This Row],[Tag]],TAGS!$J$1:$K$11,2,0),"")</f>
        <v>Essencial</v>
      </c>
      <c r="I317" s="38" t="str">
        <f t="shared" si="4"/>
        <v>abril</v>
      </c>
      <c r="J317" s="39" t="str">
        <f>IF(Tabela1[[#This Row],[Caixa]]="Receita","Recebido",IF(F317="","",IF(G317="","",IF(G317&lt;F317,"Pago atrasado",IF(Tabela1[[#This Row],[Data do Pagamento / Compra]]&gt;Tabela1[[#This Row],[Data de Compra]],"Pago","Pago")))))</f>
        <v>Pago</v>
      </c>
    </row>
    <row r="318" spans="1:10" ht="21" hidden="1" customHeight="1" x14ac:dyDescent="0.2">
      <c r="A318" s="33" t="s">
        <v>81</v>
      </c>
      <c r="B318" s="34" t="s">
        <v>29</v>
      </c>
      <c r="C318" s="34" t="s">
        <v>13</v>
      </c>
      <c r="D318" s="34" t="s">
        <v>88</v>
      </c>
      <c r="E318" s="35">
        <v>15</v>
      </c>
      <c r="F318" s="36">
        <v>45386</v>
      </c>
      <c r="G318" s="36"/>
      <c r="H318" s="37" t="str">
        <f>IFERROR(VLOOKUP(Tabela1[[#This Row],[Tag]],TAGS!$J$1:$K$11,2,0),"")</f>
        <v>Essencial</v>
      </c>
      <c r="I318" s="38" t="str">
        <f t="shared" si="4"/>
        <v/>
      </c>
      <c r="J318" s="39" t="str">
        <f>IF(Tabela1[[#This Row],[Caixa]]="Receita","Recebido",IF(F318="","",IF(G318="","",IF(G318&lt;F318,"Pago atrasado",IF(Tabela1[[#This Row],[Data do Pagamento / Compra]]&gt;Tabela1[[#This Row],[Data de Compra]],"Pago","Pago")))))</f>
        <v/>
      </c>
    </row>
    <row r="319" spans="1:10" ht="21" hidden="1" customHeight="1" x14ac:dyDescent="0.2">
      <c r="A319" s="33" t="s">
        <v>81</v>
      </c>
      <c r="B319" s="34" t="s">
        <v>29</v>
      </c>
      <c r="C319" s="34" t="s">
        <v>13</v>
      </c>
      <c r="D319" s="34" t="s">
        <v>88</v>
      </c>
      <c r="E319" s="35">
        <v>20</v>
      </c>
      <c r="F319" s="36">
        <v>45387</v>
      </c>
      <c r="G319" s="36"/>
      <c r="H319" s="37" t="str">
        <f>IFERROR(VLOOKUP(Tabela1[[#This Row],[Tag]],TAGS!$J$1:$K$11,2,0),"")</f>
        <v>Essencial</v>
      </c>
      <c r="I319" s="38" t="str">
        <f t="shared" si="4"/>
        <v/>
      </c>
      <c r="J319" s="39" t="str">
        <f>IF(Tabela1[[#This Row],[Caixa]]="Receita","Recebido",IF(F319="","",IF(G319="","",IF(G319&lt;F319,"Pago atrasado",IF(Tabela1[[#This Row],[Data do Pagamento / Compra]]&gt;Tabela1[[#This Row],[Data de Compra]],"Pago","Pago")))))</f>
        <v/>
      </c>
    </row>
    <row r="320" spans="1:10" ht="21" hidden="1" customHeight="1" x14ac:dyDescent="0.2">
      <c r="A320" s="33" t="s">
        <v>81</v>
      </c>
      <c r="B320" s="34" t="s">
        <v>29</v>
      </c>
      <c r="C320" s="34" t="s">
        <v>13</v>
      </c>
      <c r="D320" s="34" t="s">
        <v>88</v>
      </c>
      <c r="E320" s="35">
        <v>16</v>
      </c>
      <c r="F320" s="36">
        <v>45387</v>
      </c>
      <c r="G320" s="36"/>
      <c r="H320" s="37" t="str">
        <f>IFERROR(VLOOKUP(Tabela1[[#This Row],[Tag]],TAGS!$J$1:$K$11,2,0),"")</f>
        <v>Essencial</v>
      </c>
      <c r="I320" s="38" t="str">
        <f t="shared" si="4"/>
        <v/>
      </c>
      <c r="J320" s="39" t="str">
        <f>IF(Tabela1[[#This Row],[Caixa]]="Receita","Recebido",IF(F320="","",IF(G320="","",IF(G320&lt;F320,"Pago atrasado",IF(Tabela1[[#This Row],[Data do Pagamento / Compra]]&gt;Tabela1[[#This Row],[Data de Compra]],"Pago","Pago")))))</f>
        <v/>
      </c>
    </row>
    <row r="321" spans="1:10" ht="21" hidden="1" customHeight="1" x14ac:dyDescent="0.2">
      <c r="A321" s="33" t="s">
        <v>182</v>
      </c>
      <c r="B321" s="34" t="s">
        <v>29</v>
      </c>
      <c r="C321" s="34" t="s">
        <v>14</v>
      </c>
      <c r="D321" s="34" t="s">
        <v>5</v>
      </c>
      <c r="E321" s="35">
        <v>100</v>
      </c>
      <c r="F321" s="36">
        <v>45388</v>
      </c>
      <c r="G321" s="36">
        <v>45388</v>
      </c>
      <c r="H321" s="37" t="str">
        <f>IFERROR(VLOOKUP(Tabela1[[#This Row],[Tag]],TAGS!$J$1:$K$11,2,0),"")</f>
        <v>Não essencial</v>
      </c>
      <c r="I321" s="38" t="str">
        <f t="shared" si="4"/>
        <v>abril</v>
      </c>
      <c r="J321" s="39" t="str">
        <f>IF(Tabela1[[#This Row],[Caixa]]="Receita","Recebido",IF(F321="","",IF(G321="","",IF(G321&lt;F321,"Pago atrasado",IF(Tabela1[[#This Row],[Data do Pagamento / Compra]]&gt;Tabela1[[#This Row],[Data de Compra]],"Pago","Pago")))))</f>
        <v>Pago</v>
      </c>
    </row>
    <row r="322" spans="1:10" ht="21" hidden="1" customHeight="1" x14ac:dyDescent="0.2">
      <c r="A322" s="33" t="s">
        <v>183</v>
      </c>
      <c r="B322" s="34" t="s">
        <v>29</v>
      </c>
      <c r="C322" s="34" t="s">
        <v>21</v>
      </c>
      <c r="D322" s="34" t="s">
        <v>15</v>
      </c>
      <c r="E322" s="35">
        <v>69.900000000000006</v>
      </c>
      <c r="F322" s="36">
        <v>45388</v>
      </c>
      <c r="G322" s="36">
        <v>45388</v>
      </c>
      <c r="H322" s="37" t="str">
        <f>IFERROR(VLOOKUP(Tabela1[[#This Row],[Tag]],TAGS!$J$1:$K$11,2,0),"")</f>
        <v>Não essencial</v>
      </c>
      <c r="I322" s="38" t="str">
        <f t="shared" si="4"/>
        <v>abril</v>
      </c>
      <c r="J322" s="39" t="str">
        <f>IF(Tabela1[[#This Row],[Caixa]]="Receita","Recebido",IF(F322="","",IF(G322="","",IF(G322&lt;F322,"Pago atrasado",IF(Tabela1[[#This Row],[Data do Pagamento / Compra]]&gt;Tabela1[[#This Row],[Data de Compra]],"Pago","Pago")))))</f>
        <v>Pago</v>
      </c>
    </row>
    <row r="323" spans="1:10" ht="21" hidden="1" customHeight="1" x14ac:dyDescent="0.2">
      <c r="A323" s="33" t="s">
        <v>184</v>
      </c>
      <c r="B323" s="34" t="s">
        <v>29</v>
      </c>
      <c r="C323" s="34" t="s">
        <v>21</v>
      </c>
      <c r="D323" s="34" t="s">
        <v>15</v>
      </c>
      <c r="E323" s="35">
        <v>129</v>
      </c>
      <c r="F323" s="36">
        <v>45388</v>
      </c>
      <c r="G323" s="36">
        <v>45388</v>
      </c>
      <c r="H323" s="37" t="str">
        <f>IFERROR(VLOOKUP(Tabela1[[#This Row],[Tag]],TAGS!$J$1:$K$11,2,0),"")</f>
        <v>Não essencial</v>
      </c>
      <c r="I323" s="38" t="str">
        <f t="shared" si="4"/>
        <v>abril</v>
      </c>
      <c r="J323" s="39" t="str">
        <f>IF(Tabela1[[#This Row],[Caixa]]="Receita","Recebido",IF(F323="","",IF(G323="","",IF(G323&lt;F323,"Pago atrasado",IF(Tabela1[[#This Row],[Data do Pagamento / Compra]]&gt;Tabela1[[#This Row],[Data de Compra]],"Pago","Pago")))))</f>
        <v>Pago</v>
      </c>
    </row>
    <row r="324" spans="1:10" ht="21" hidden="1" customHeight="1" x14ac:dyDescent="0.2">
      <c r="A324" s="33" t="s">
        <v>185</v>
      </c>
      <c r="B324" s="34" t="s">
        <v>29</v>
      </c>
      <c r="C324" s="34" t="s">
        <v>21</v>
      </c>
      <c r="D324" s="34" t="s">
        <v>15</v>
      </c>
      <c r="E324" s="35">
        <v>249.9</v>
      </c>
      <c r="F324" s="36">
        <v>45388</v>
      </c>
      <c r="G324" s="36">
        <v>45388</v>
      </c>
      <c r="H324" s="37" t="str">
        <f>IFERROR(VLOOKUP(Tabela1[[#This Row],[Tag]],TAGS!$J$1:$K$11,2,0),"")</f>
        <v>Não essencial</v>
      </c>
      <c r="I324" s="38" t="str">
        <f t="shared" ref="I324:I386" si="5">IF(G324="","",TEXT(G324,"mmmm"))</f>
        <v>abril</v>
      </c>
      <c r="J324" s="39" t="str">
        <f>IF(Tabela1[[#This Row],[Caixa]]="Receita","Recebido",IF(F324="","",IF(G324="","",IF(G324&lt;F324,"Pago atrasado",IF(Tabela1[[#This Row],[Data do Pagamento / Compra]]&gt;Tabela1[[#This Row],[Data de Compra]],"Pago","Pago")))))</f>
        <v>Pago</v>
      </c>
    </row>
    <row r="325" spans="1:10" ht="21" hidden="1" customHeight="1" x14ac:dyDescent="0.2">
      <c r="A325" s="33" t="s">
        <v>181</v>
      </c>
      <c r="B325" s="34" t="s">
        <v>29</v>
      </c>
      <c r="C325" s="34" t="s">
        <v>14</v>
      </c>
      <c r="D325" s="34" t="s">
        <v>5</v>
      </c>
      <c r="E325" s="35">
        <v>29.97</v>
      </c>
      <c r="F325" s="36">
        <v>45388</v>
      </c>
      <c r="G325" s="36">
        <v>45388</v>
      </c>
      <c r="H325" s="37" t="str">
        <f>IFERROR(VLOOKUP(Tabela1[[#This Row],[Tag]],TAGS!$J$1:$K$11,2,0),"")</f>
        <v>Não essencial</v>
      </c>
      <c r="I325" s="38" t="str">
        <f t="shared" si="5"/>
        <v>abril</v>
      </c>
      <c r="J325" s="39" t="str">
        <f>IF(Tabela1[[#This Row],[Caixa]]="Receita","Recebido",IF(F325="","",IF(G325="","",IF(G325&lt;F325,"Pago atrasado",IF(Tabela1[[#This Row],[Data do Pagamento / Compra]]&gt;Tabela1[[#This Row],[Data de Compra]],"Pago","Pago")))))</f>
        <v>Pago</v>
      </c>
    </row>
    <row r="326" spans="1:10" ht="21" hidden="1" customHeight="1" x14ac:dyDescent="0.2">
      <c r="A326" s="33" t="s">
        <v>181</v>
      </c>
      <c r="B326" s="34" t="s">
        <v>29</v>
      </c>
      <c r="C326" s="34" t="s">
        <v>14</v>
      </c>
      <c r="D326" s="34" t="s">
        <v>5</v>
      </c>
      <c r="E326" s="35">
        <v>7.99</v>
      </c>
      <c r="F326" s="36">
        <v>45388</v>
      </c>
      <c r="G326" s="36">
        <v>45388</v>
      </c>
      <c r="H326" s="37" t="str">
        <f>IFERROR(VLOOKUP(Tabela1[[#This Row],[Tag]],TAGS!$J$1:$K$11,2,0),"")</f>
        <v>Não essencial</v>
      </c>
      <c r="I326" s="38" t="str">
        <f t="shared" si="5"/>
        <v>abril</v>
      </c>
      <c r="J326" s="39" t="str">
        <f>IF(Tabela1[[#This Row],[Caixa]]="Receita","Recebido",IF(F326="","",IF(G326="","",IF(G326&lt;F326,"Pago atrasado",IF(Tabela1[[#This Row],[Data do Pagamento / Compra]]&gt;Tabela1[[#This Row],[Data de Compra]],"Pago","Pago")))))</f>
        <v>Pago</v>
      </c>
    </row>
    <row r="327" spans="1:10" ht="21" customHeight="1" x14ac:dyDescent="0.2">
      <c r="A327" s="33" t="s">
        <v>124</v>
      </c>
      <c r="B327" s="34" t="s">
        <v>29</v>
      </c>
      <c r="C327" s="34" t="s">
        <v>12</v>
      </c>
      <c r="D327" s="34" t="s">
        <v>169</v>
      </c>
      <c r="E327" s="35">
        <v>116.05</v>
      </c>
      <c r="F327" s="36">
        <v>45380</v>
      </c>
      <c r="G327" s="36">
        <v>45418</v>
      </c>
      <c r="H327" s="37" t="str">
        <f>IFERROR(VLOOKUP(Tabela1[[#This Row],[Tag]],TAGS!$J$1:$K$11,2,0),"")</f>
        <v>Essencial</v>
      </c>
      <c r="I327" s="38" t="str">
        <f t="shared" si="5"/>
        <v>maio</v>
      </c>
      <c r="J327" s="39" t="str">
        <f>IF(Tabela1[[#This Row],[Caixa]]="Receita","Recebido",IF(F327="","",IF(G327="","",IF(G327&lt;F327,"Pago atrasado",IF(Tabela1[[#This Row],[Data do Pagamento / Compra]]&gt;Tabela1[[#This Row],[Data de Compra]],"Pago","Pago")))))</f>
        <v>Pago</v>
      </c>
    </row>
    <row r="328" spans="1:10" ht="21" customHeight="1" x14ac:dyDescent="0.2">
      <c r="A328" s="33" t="s">
        <v>124</v>
      </c>
      <c r="B328" s="34" t="s">
        <v>29</v>
      </c>
      <c r="C328" s="34" t="s">
        <v>12</v>
      </c>
      <c r="D328" s="34" t="s">
        <v>169</v>
      </c>
      <c r="E328" s="35">
        <v>124.59</v>
      </c>
      <c r="F328" s="36">
        <v>45388</v>
      </c>
      <c r="G328" s="36">
        <v>45418</v>
      </c>
      <c r="H328" s="37" t="str">
        <f>IFERROR(VLOOKUP(Tabela1[[#This Row],[Tag]],TAGS!$J$1:$K$11,2,0),"")</f>
        <v>Essencial</v>
      </c>
      <c r="I328" s="38" t="str">
        <f t="shared" si="5"/>
        <v>maio</v>
      </c>
      <c r="J328" s="39" t="str">
        <f>IF(Tabela1[[#This Row],[Caixa]]="Receita","Recebido",IF(F328="","",IF(G328="","",IF(G328&lt;F328,"Pago atrasado",IF(Tabela1[[#This Row],[Data do Pagamento / Compra]]&gt;Tabela1[[#This Row],[Data de Compra]],"Pago","Pago")))))</f>
        <v>Pago</v>
      </c>
    </row>
    <row r="329" spans="1:10" ht="21" customHeight="1" x14ac:dyDescent="0.2">
      <c r="A329" s="33" t="s">
        <v>124</v>
      </c>
      <c r="B329" s="34" t="s">
        <v>29</v>
      </c>
      <c r="C329" s="34" t="s">
        <v>12</v>
      </c>
      <c r="D329" s="34" t="s">
        <v>169</v>
      </c>
      <c r="E329" s="35">
        <v>104.42</v>
      </c>
      <c r="F329" s="36">
        <v>45391</v>
      </c>
      <c r="G329" s="36">
        <v>45418</v>
      </c>
      <c r="H329" s="37" t="str">
        <f>IFERROR(VLOOKUP(Tabela1[[#This Row],[Tag]],TAGS!$J$1:$K$11,2,0),"")</f>
        <v>Essencial</v>
      </c>
      <c r="I329" s="38" t="str">
        <f t="shared" si="5"/>
        <v>maio</v>
      </c>
      <c r="J329" s="39" t="str">
        <f>IF(Tabela1[[#This Row],[Caixa]]="Receita","Recebido",IF(F329="","",IF(G329="","",IF(G329&lt;F329,"Pago atrasado",IF(Tabela1[[#This Row],[Data do Pagamento / Compra]]&gt;Tabela1[[#This Row],[Data de Compra]],"Pago","Pago")))))</f>
        <v>Pago</v>
      </c>
    </row>
    <row r="330" spans="1:10" ht="21" hidden="1" customHeight="1" x14ac:dyDescent="0.2">
      <c r="A330" s="33" t="s">
        <v>23</v>
      </c>
      <c r="B330" s="34" t="s">
        <v>29</v>
      </c>
      <c r="C330" s="34" t="s">
        <v>21</v>
      </c>
      <c r="D330" s="34" t="s">
        <v>15</v>
      </c>
      <c r="E330" s="35">
        <v>80.989999999999995</v>
      </c>
      <c r="F330" s="36">
        <v>45392</v>
      </c>
      <c r="G330" s="36">
        <v>45392</v>
      </c>
      <c r="H330" s="37" t="str">
        <f>IFERROR(VLOOKUP(Tabela1[[#This Row],[Tag]],TAGS!$J$1:$K$11,2,0),"")</f>
        <v>Não essencial</v>
      </c>
      <c r="I330" s="38" t="str">
        <f t="shared" si="5"/>
        <v>abril</v>
      </c>
      <c r="J330" s="39" t="str">
        <f>IF(Tabela1[[#This Row],[Caixa]]="Receita","Recebido",IF(F330="","",IF(G330="","",IF(G330&lt;F330,"Pago atrasado",IF(Tabela1[[#This Row],[Data do Pagamento / Compra]]&gt;Tabela1[[#This Row],[Data de Compra]],"Pago","Pago")))))</f>
        <v>Pago</v>
      </c>
    </row>
    <row r="331" spans="1:10" ht="21" hidden="1" customHeight="1" x14ac:dyDescent="0.2">
      <c r="A331" s="33" t="s">
        <v>132</v>
      </c>
      <c r="B331" s="34" t="s">
        <v>29</v>
      </c>
      <c r="C331" s="34" t="s">
        <v>21</v>
      </c>
      <c r="D331" s="34" t="s">
        <v>89</v>
      </c>
      <c r="E331" s="35">
        <v>326</v>
      </c>
      <c r="F331" s="36">
        <v>45392</v>
      </c>
      <c r="G331" s="36">
        <v>45392</v>
      </c>
      <c r="H331" s="37" t="str">
        <f>IFERROR(VLOOKUP(Tabela1[[#This Row],[Tag]],TAGS!$J$1:$K$11,2,0),"")</f>
        <v>Não essencial</v>
      </c>
      <c r="I331" s="38" t="str">
        <f t="shared" si="5"/>
        <v>abril</v>
      </c>
      <c r="J331" s="39" t="str">
        <f>IF(Tabela1[[#This Row],[Caixa]]="Receita","Recebido",IF(F331="","",IF(G331="","",IF(G331&lt;F331,"Pago atrasado",IF(Tabela1[[#This Row],[Data do Pagamento / Compra]]&gt;Tabela1[[#This Row],[Data de Compra]],"Pago","Pago")))))</f>
        <v>Pago</v>
      </c>
    </row>
    <row r="332" spans="1:10" ht="21" hidden="1" customHeight="1" x14ac:dyDescent="0.2">
      <c r="A332" s="33" t="s">
        <v>187</v>
      </c>
      <c r="B332" s="34" t="s">
        <v>29</v>
      </c>
      <c r="C332" s="34" t="s">
        <v>21</v>
      </c>
      <c r="D332" s="34" t="s">
        <v>89</v>
      </c>
      <c r="E332" s="35">
        <v>102.9</v>
      </c>
      <c r="F332" s="36">
        <v>45392</v>
      </c>
      <c r="G332" s="36">
        <v>45392</v>
      </c>
      <c r="H332" s="37" t="str">
        <f>IFERROR(VLOOKUP(Tabela1[[#This Row],[Tag]],TAGS!$J$1:$K$11,2,0),"")</f>
        <v>Não essencial</v>
      </c>
      <c r="I332" s="38" t="str">
        <f t="shared" si="5"/>
        <v>abril</v>
      </c>
      <c r="J332" s="39" t="str">
        <f>IF(Tabela1[[#This Row],[Caixa]]="Receita","Recebido",IF(F332="","",IF(G332="","",IF(G332&lt;F332,"Pago atrasado",IF(Tabela1[[#This Row],[Data do Pagamento / Compra]]&gt;Tabela1[[#This Row],[Data de Compra]],"Pago","Pago")))))</f>
        <v>Pago</v>
      </c>
    </row>
    <row r="333" spans="1:10" ht="21" hidden="1" customHeight="1" x14ac:dyDescent="0.2">
      <c r="A333" s="33" t="s">
        <v>181</v>
      </c>
      <c r="B333" s="34" t="s">
        <v>29</v>
      </c>
      <c r="C333" s="34" t="s">
        <v>14</v>
      </c>
      <c r="D333" s="34" t="s">
        <v>89</v>
      </c>
      <c r="E333" s="35">
        <v>12.98</v>
      </c>
      <c r="F333" s="36">
        <v>45392</v>
      </c>
      <c r="G333" s="36">
        <v>45392</v>
      </c>
      <c r="H333" s="37" t="str">
        <f>IFERROR(VLOOKUP(Tabela1[[#This Row],[Tag]],TAGS!$J$1:$K$11,2,0),"")</f>
        <v>Não essencial</v>
      </c>
      <c r="I333" s="38" t="str">
        <f t="shared" si="5"/>
        <v>abril</v>
      </c>
      <c r="J333" s="39" t="str">
        <f>IF(Tabela1[[#This Row],[Caixa]]="Receita","Recebido",IF(F333="","",IF(G333="","",IF(G333&lt;F333,"Pago atrasado",IF(Tabela1[[#This Row],[Data do Pagamento / Compra]]&gt;Tabela1[[#This Row],[Data de Compra]],"Pago","Pago")))))</f>
        <v>Pago</v>
      </c>
    </row>
    <row r="334" spans="1:10" ht="21" hidden="1" customHeight="1" x14ac:dyDescent="0.2">
      <c r="A334" s="33" t="s">
        <v>181</v>
      </c>
      <c r="B334" s="34" t="s">
        <v>29</v>
      </c>
      <c r="C334" s="34" t="s">
        <v>14</v>
      </c>
      <c r="D334" s="34" t="s">
        <v>89</v>
      </c>
      <c r="E334" s="35">
        <v>42.32</v>
      </c>
      <c r="F334" s="36">
        <v>45392</v>
      </c>
      <c r="G334" s="36">
        <v>45392</v>
      </c>
      <c r="H334" s="37" t="str">
        <f>IFERROR(VLOOKUP(Tabela1[[#This Row],[Tag]],TAGS!$J$1:$K$11,2,0),"")</f>
        <v>Não essencial</v>
      </c>
      <c r="I334" s="38" t="str">
        <f t="shared" si="5"/>
        <v>abril</v>
      </c>
      <c r="J334" s="39" t="str">
        <f>IF(Tabela1[[#This Row],[Caixa]]="Receita","Recebido",IF(F334="","",IF(G334="","",IF(G334&lt;F334,"Pago atrasado",IF(Tabela1[[#This Row],[Data do Pagamento / Compra]]&gt;Tabela1[[#This Row],[Data de Compra]],"Pago","Pago")))))</f>
        <v>Pago</v>
      </c>
    </row>
    <row r="335" spans="1:10" ht="21" hidden="1" customHeight="1" x14ac:dyDescent="0.2">
      <c r="A335" s="33" t="s">
        <v>187</v>
      </c>
      <c r="B335" s="34" t="s">
        <v>29</v>
      </c>
      <c r="C335" s="34" t="s">
        <v>21</v>
      </c>
      <c r="D335" s="34" t="s">
        <v>89</v>
      </c>
      <c r="E335" s="35">
        <v>55.9</v>
      </c>
      <c r="F335" s="36">
        <v>45392</v>
      </c>
      <c r="G335" s="36">
        <v>45392</v>
      </c>
      <c r="H335" s="37" t="str">
        <f>IFERROR(VLOOKUP(Tabela1[[#This Row],[Tag]],TAGS!$J$1:$K$11,2,0),"")</f>
        <v>Não essencial</v>
      </c>
      <c r="I335" s="38" t="str">
        <f t="shared" si="5"/>
        <v>abril</v>
      </c>
      <c r="J335" s="39" t="str">
        <f>IF(Tabela1[[#This Row],[Caixa]]="Receita","Recebido",IF(F335="","",IF(G335="","",IF(G335&lt;F335,"Pago atrasado",IF(Tabela1[[#This Row],[Data do Pagamento / Compra]]&gt;Tabela1[[#This Row],[Data de Compra]],"Pago","Pago")))))</f>
        <v>Pago</v>
      </c>
    </row>
    <row r="336" spans="1:10" ht="21" hidden="1" customHeight="1" x14ac:dyDescent="0.2">
      <c r="A336" s="33" t="s">
        <v>17</v>
      </c>
      <c r="B336" s="34" t="s">
        <v>29</v>
      </c>
      <c r="C336" s="34" t="s">
        <v>18</v>
      </c>
      <c r="D336" s="34" t="s">
        <v>89</v>
      </c>
      <c r="E336" s="35">
        <v>60</v>
      </c>
      <c r="F336" s="36">
        <v>45392</v>
      </c>
      <c r="G336" s="36">
        <v>45392</v>
      </c>
      <c r="H336" s="37" t="str">
        <f>IFERROR(VLOOKUP(Tabela1[[#This Row],[Tag]],TAGS!$J$1:$K$11,2,0),"")</f>
        <v>Não essencial</v>
      </c>
      <c r="I336" s="38" t="str">
        <f t="shared" si="5"/>
        <v>abril</v>
      </c>
      <c r="J336" s="39" t="str">
        <f>IF(Tabela1[[#This Row],[Caixa]]="Receita","Recebido",IF(F336="","",IF(G336="","",IF(G336&lt;F336,"Pago atrasado",IF(Tabela1[[#This Row],[Data do Pagamento / Compra]]&gt;Tabela1[[#This Row],[Data de Compra]],"Pago","Pago")))))</f>
        <v>Pago</v>
      </c>
    </row>
    <row r="337" spans="1:10" ht="21" hidden="1" customHeight="1" x14ac:dyDescent="0.2">
      <c r="A337" s="33" t="s">
        <v>130</v>
      </c>
      <c r="B337" s="34" t="s">
        <v>29</v>
      </c>
      <c r="C337" s="34" t="s">
        <v>20</v>
      </c>
      <c r="D337" s="34" t="s">
        <v>89</v>
      </c>
      <c r="E337" s="35">
        <v>83.08</v>
      </c>
      <c r="F337" s="36">
        <v>45392</v>
      </c>
      <c r="G337" s="36">
        <v>45392</v>
      </c>
      <c r="H337" s="37" t="str">
        <f>IFERROR(VLOOKUP(Tabela1[[#This Row],[Tag]],TAGS!$J$1:$K$11,2,0),"")</f>
        <v>Essencial</v>
      </c>
      <c r="I337" s="38" t="str">
        <f t="shared" si="5"/>
        <v>abril</v>
      </c>
      <c r="J337" s="39" t="str">
        <f>IF(Tabela1[[#This Row],[Caixa]]="Receita","Recebido",IF(F337="","",IF(G337="","",IF(G337&lt;F337,"Pago atrasado",IF(Tabela1[[#This Row],[Data do Pagamento / Compra]]&gt;Tabela1[[#This Row],[Data de Compra]],"Pago","Pago")))))</f>
        <v>Pago</v>
      </c>
    </row>
    <row r="338" spans="1:10" ht="21" hidden="1" customHeight="1" x14ac:dyDescent="0.2">
      <c r="A338" s="33" t="s">
        <v>2</v>
      </c>
      <c r="B338" s="34" t="s">
        <v>29</v>
      </c>
      <c r="C338" s="34" t="s">
        <v>11</v>
      </c>
      <c r="D338" s="34" t="s">
        <v>15</v>
      </c>
      <c r="E338" s="35">
        <v>1900</v>
      </c>
      <c r="F338" s="36">
        <v>45390</v>
      </c>
      <c r="G338" s="36">
        <v>45390</v>
      </c>
      <c r="H338" s="37" t="str">
        <f>IFERROR(VLOOKUP(Tabela1[[#This Row],[Tag]],TAGS!$J$1:$K$11,2,0),"")</f>
        <v>Essencial</v>
      </c>
      <c r="I338" s="38" t="str">
        <f t="shared" si="5"/>
        <v>abril</v>
      </c>
      <c r="J338" s="39" t="str">
        <f>IF(Tabela1[[#This Row],[Caixa]]="Receita","Recebido",IF(F338="","",IF(G338="","",IF(G338&lt;F338,"Pago atrasado",IF(Tabela1[[#This Row],[Data do Pagamento / Compra]]&gt;Tabela1[[#This Row],[Data de Compra]],"Pago","Pago")))))</f>
        <v>Pago</v>
      </c>
    </row>
    <row r="339" spans="1:10" ht="21" hidden="1" customHeight="1" x14ac:dyDescent="0.2">
      <c r="A339" s="33" t="s">
        <v>99</v>
      </c>
      <c r="B339" s="34" t="s">
        <v>29</v>
      </c>
      <c r="C339" s="34" t="s">
        <v>20</v>
      </c>
      <c r="D339" s="34" t="s">
        <v>15</v>
      </c>
      <c r="E339" s="35">
        <v>297</v>
      </c>
      <c r="F339" s="36">
        <v>45391</v>
      </c>
      <c r="G339" s="36">
        <v>45391</v>
      </c>
      <c r="H339" s="37" t="str">
        <f>IFERROR(VLOOKUP(Tabela1[[#This Row],[Tag]],TAGS!$J$1:$K$11,2,0),"")</f>
        <v>Essencial</v>
      </c>
      <c r="I339" s="38" t="str">
        <f t="shared" si="5"/>
        <v>abril</v>
      </c>
      <c r="J339" s="39" t="str">
        <f>IF(Tabela1[[#This Row],[Caixa]]="Receita","Recebido",IF(F339="","",IF(G339="","",IF(G339&lt;F339,"Pago atrasado",IF(Tabela1[[#This Row],[Data do Pagamento / Compra]]&gt;Tabela1[[#This Row],[Data de Compra]],"Pago","Pago")))))</f>
        <v>Pago</v>
      </c>
    </row>
    <row r="340" spans="1:10" ht="21" hidden="1" customHeight="1" x14ac:dyDescent="0.2">
      <c r="A340" s="33"/>
      <c r="B340" s="34"/>
      <c r="C340" s="34"/>
      <c r="D340" s="34"/>
      <c r="E340" s="35"/>
      <c r="F340" s="36"/>
      <c r="G340" s="36"/>
      <c r="H340" s="37" t="str">
        <f>IFERROR(VLOOKUP(Tabela1[[#This Row],[Tag]],TAGS!$J$1:$K$11,2,0),"")</f>
        <v/>
      </c>
      <c r="I340" s="38" t="str">
        <f t="shared" si="5"/>
        <v/>
      </c>
      <c r="J340" s="39" t="str">
        <f>IF(Tabela1[[#This Row],[Caixa]]="Receita","Recebido",IF(F340="","",IF(G340="","",IF(G340&lt;F340,"Pago atrasado",IF(Tabela1[[#This Row],[Data do Pagamento / Compra]]&gt;Tabela1[[#This Row],[Data de Compra]],"Pago","Pago")))))</f>
        <v/>
      </c>
    </row>
    <row r="341" spans="1:10" ht="21" hidden="1" customHeight="1" x14ac:dyDescent="0.2">
      <c r="A341" s="33"/>
      <c r="B341" s="34"/>
      <c r="C341" s="34"/>
      <c r="D341" s="34"/>
      <c r="E341" s="35"/>
      <c r="F341" s="36"/>
      <c r="G341" s="36"/>
      <c r="H341" s="37" t="str">
        <f>IFERROR(VLOOKUP(Tabela1[[#This Row],[Tag]],TAGS!$J$1:$K$11,2,0),"")</f>
        <v/>
      </c>
      <c r="I341" s="38" t="str">
        <f t="shared" si="5"/>
        <v/>
      </c>
      <c r="J341" s="39" t="str">
        <f>IF(Tabela1[[#This Row],[Caixa]]="Receita","Recebido",IF(F341="","",IF(G341="","",IF(G341&lt;F341,"Pago atrasado",IF(Tabela1[[#This Row],[Data do Pagamento / Compra]]&gt;Tabela1[[#This Row],[Data de Compra]],"Pago","Pago")))))</f>
        <v/>
      </c>
    </row>
    <row r="342" spans="1:10" ht="21" hidden="1" customHeight="1" x14ac:dyDescent="0.2">
      <c r="A342" s="33"/>
      <c r="B342" s="34"/>
      <c r="C342" s="34"/>
      <c r="D342" s="34"/>
      <c r="E342" s="35"/>
      <c r="F342" s="36"/>
      <c r="G342" s="36"/>
      <c r="H342" s="37" t="str">
        <f>IFERROR(VLOOKUP(Tabela1[[#This Row],[Tag]],TAGS!$J$1:$K$11,2,0),"")</f>
        <v/>
      </c>
      <c r="I342" s="38" t="str">
        <f t="shared" si="5"/>
        <v/>
      </c>
      <c r="J342" s="39" t="str">
        <f>IF(Tabela1[[#This Row],[Caixa]]="Receita","Recebido",IF(F342="","",IF(G342="","",IF(G342&lt;F342,"Pago atrasado",IF(Tabela1[[#This Row],[Data do Pagamento / Compra]]&gt;Tabela1[[#This Row],[Data de Compra]],"Pago","Pago")))))</f>
        <v/>
      </c>
    </row>
    <row r="343" spans="1:10" ht="21" hidden="1" customHeight="1" x14ac:dyDescent="0.2">
      <c r="A343" s="33"/>
      <c r="B343" s="34"/>
      <c r="C343" s="34"/>
      <c r="D343" s="34"/>
      <c r="E343" s="35"/>
      <c r="F343" s="36"/>
      <c r="G343" s="36"/>
      <c r="H343" s="37" t="str">
        <f>IFERROR(VLOOKUP(Tabela1[[#This Row],[Tag]],TAGS!$J$1:$K$11,2,0),"")</f>
        <v/>
      </c>
      <c r="I343" s="38" t="str">
        <f t="shared" si="5"/>
        <v/>
      </c>
      <c r="J343" s="39" t="str">
        <f>IF(Tabela1[[#This Row],[Caixa]]="Receita","Recebido",IF(F343="","",IF(G343="","",IF(G343&lt;F343,"Pago atrasado",IF(Tabela1[[#This Row],[Data do Pagamento / Compra]]&gt;Tabela1[[#This Row],[Data de Compra]],"Pago","Pago")))))</f>
        <v/>
      </c>
    </row>
    <row r="344" spans="1:10" ht="21" hidden="1" customHeight="1" x14ac:dyDescent="0.2">
      <c r="A344" s="33"/>
      <c r="B344" s="34"/>
      <c r="C344" s="34"/>
      <c r="D344" s="34"/>
      <c r="E344" s="35"/>
      <c r="F344" s="36"/>
      <c r="G344" s="36"/>
      <c r="H344" s="37" t="str">
        <f>IFERROR(VLOOKUP(Tabela1[[#This Row],[Tag]],TAGS!$J$1:$K$11,2,0),"")</f>
        <v/>
      </c>
      <c r="I344" s="38" t="str">
        <f t="shared" si="5"/>
        <v/>
      </c>
      <c r="J344" s="39" t="str">
        <f>IF(Tabela1[[#This Row],[Caixa]]="Receita","Recebido",IF(F344="","",IF(G344="","",IF(G344&lt;F344,"Pago atrasado",IF(Tabela1[[#This Row],[Data do Pagamento / Compra]]&gt;Tabela1[[#This Row],[Data de Compra]],"Pago","Pago")))))</f>
        <v/>
      </c>
    </row>
    <row r="345" spans="1:10" ht="21" hidden="1" customHeight="1" x14ac:dyDescent="0.2">
      <c r="A345" s="33"/>
      <c r="B345" s="34"/>
      <c r="C345" s="34"/>
      <c r="D345" s="34"/>
      <c r="E345" s="35"/>
      <c r="F345" s="36"/>
      <c r="G345" s="36"/>
      <c r="H345" s="37" t="str">
        <f>IFERROR(VLOOKUP(Tabela1[[#This Row],[Tag]],TAGS!$J$1:$K$11,2,0),"")</f>
        <v/>
      </c>
      <c r="I345" s="38" t="str">
        <f t="shared" si="5"/>
        <v/>
      </c>
      <c r="J345" s="39" t="str">
        <f>IF(Tabela1[[#This Row],[Caixa]]="Receita","Recebido",IF(F345="","",IF(G345="","",IF(G345&lt;F345,"Pago atrasado",IF(Tabela1[[#This Row],[Data do Pagamento / Compra]]&gt;Tabela1[[#This Row],[Data de Compra]],"Pago","Pago")))))</f>
        <v/>
      </c>
    </row>
    <row r="346" spans="1:10" ht="21" hidden="1" customHeight="1" x14ac:dyDescent="0.2">
      <c r="A346" s="33"/>
      <c r="B346" s="34"/>
      <c r="C346" s="34"/>
      <c r="D346" s="34"/>
      <c r="E346" s="35"/>
      <c r="F346" s="36"/>
      <c r="G346" s="36"/>
      <c r="H346" s="37" t="str">
        <f>IFERROR(VLOOKUP(Tabela1[[#This Row],[Tag]],TAGS!$J$1:$K$11,2,0),"")</f>
        <v/>
      </c>
      <c r="I346" s="38" t="str">
        <f t="shared" si="5"/>
        <v/>
      </c>
      <c r="J346" s="39" t="str">
        <f>IF(Tabela1[[#This Row],[Caixa]]="Receita","Recebido",IF(F346="","",IF(G346="","",IF(G346&lt;F346,"Pago atrasado",IF(Tabela1[[#This Row],[Data do Pagamento / Compra]]&gt;Tabela1[[#This Row],[Data de Compra]],"Pago","Pago")))))</f>
        <v/>
      </c>
    </row>
    <row r="347" spans="1:10" ht="21" hidden="1" customHeight="1" x14ac:dyDescent="0.2">
      <c r="A347" s="33"/>
      <c r="B347" s="34"/>
      <c r="C347" s="34"/>
      <c r="D347" s="34"/>
      <c r="E347" s="35"/>
      <c r="F347" s="36"/>
      <c r="G347" s="36"/>
      <c r="H347" s="37" t="str">
        <f>IFERROR(VLOOKUP(Tabela1[[#This Row],[Tag]],TAGS!$J$1:$K$11,2,0),"")</f>
        <v/>
      </c>
      <c r="I347" s="38" t="str">
        <f t="shared" si="5"/>
        <v/>
      </c>
      <c r="J347" s="39" t="str">
        <f>IF(Tabela1[[#This Row],[Caixa]]="Receita","Recebido",IF(F347="","",IF(G347="","",IF(G347&lt;F347,"Pago atrasado",IF(Tabela1[[#This Row],[Data do Pagamento / Compra]]&gt;Tabela1[[#This Row],[Data de Compra]],"Pago","Pago")))))</f>
        <v/>
      </c>
    </row>
    <row r="348" spans="1:10" ht="21" hidden="1" customHeight="1" x14ac:dyDescent="0.2">
      <c r="A348" s="33"/>
      <c r="B348" s="34"/>
      <c r="C348" s="34"/>
      <c r="D348" s="34"/>
      <c r="E348" s="35"/>
      <c r="F348" s="36"/>
      <c r="G348" s="36"/>
      <c r="H348" s="37" t="str">
        <f>IFERROR(VLOOKUP(Tabela1[[#This Row],[Tag]],TAGS!$J$1:$K$11,2,0),"")</f>
        <v/>
      </c>
      <c r="I348" s="38" t="str">
        <f t="shared" si="5"/>
        <v/>
      </c>
      <c r="J348" s="39" t="str">
        <f>IF(Tabela1[[#This Row],[Caixa]]="Receita","Recebido",IF(F348="","",IF(G348="","",IF(G348&lt;F348,"Pago atrasado",IF(Tabela1[[#This Row],[Data do Pagamento / Compra]]&gt;Tabela1[[#This Row],[Data de Compra]],"Pago","Pago")))))</f>
        <v/>
      </c>
    </row>
    <row r="349" spans="1:10" ht="21" hidden="1" customHeight="1" x14ac:dyDescent="0.2">
      <c r="A349" s="33"/>
      <c r="B349" s="34"/>
      <c r="C349" s="34"/>
      <c r="D349" s="34"/>
      <c r="E349" s="35"/>
      <c r="F349" s="36"/>
      <c r="G349" s="36"/>
      <c r="H349" s="37" t="str">
        <f>IFERROR(VLOOKUP(Tabela1[[#This Row],[Tag]],TAGS!$J$1:$K$11,2,0),"")</f>
        <v/>
      </c>
      <c r="I349" s="38" t="str">
        <f t="shared" si="5"/>
        <v/>
      </c>
      <c r="J349" s="39" t="str">
        <f>IF(Tabela1[[#This Row],[Caixa]]="Receita","Recebido",IF(F349="","",IF(G349="","",IF(G349&lt;F349,"Pago atrasado",IF(Tabela1[[#This Row],[Data do Pagamento / Compra]]&gt;Tabela1[[#This Row],[Data de Compra]],"Pago","Pago")))))</f>
        <v/>
      </c>
    </row>
    <row r="350" spans="1:10" ht="21" hidden="1" customHeight="1" x14ac:dyDescent="0.2">
      <c r="A350" s="33"/>
      <c r="B350" s="34"/>
      <c r="C350" s="34"/>
      <c r="D350" s="34"/>
      <c r="E350" s="35"/>
      <c r="F350" s="36"/>
      <c r="G350" s="36"/>
      <c r="H350" s="37" t="str">
        <f>IFERROR(VLOOKUP(Tabela1[[#This Row],[Tag]],TAGS!$J$1:$K$11,2,0),"")</f>
        <v/>
      </c>
      <c r="I350" s="38" t="str">
        <f t="shared" si="5"/>
        <v/>
      </c>
      <c r="J350" s="39" t="str">
        <f>IF(Tabela1[[#This Row],[Caixa]]="Receita","Recebido",IF(F350="","",IF(G350="","",IF(G350&lt;F350,"Pago atrasado",IF(Tabela1[[#This Row],[Data do Pagamento / Compra]]&gt;Tabela1[[#This Row],[Data de Compra]],"Pago","Pago")))))</f>
        <v/>
      </c>
    </row>
    <row r="351" spans="1:10" ht="21" hidden="1" customHeight="1" x14ac:dyDescent="0.2">
      <c r="A351" s="33"/>
      <c r="B351" s="34"/>
      <c r="C351" s="34"/>
      <c r="D351" s="34"/>
      <c r="E351" s="35"/>
      <c r="F351" s="36"/>
      <c r="G351" s="36"/>
      <c r="H351" s="37" t="str">
        <f>IFERROR(VLOOKUP(Tabela1[[#This Row],[Tag]],TAGS!$J$1:$K$11,2,0),"")</f>
        <v/>
      </c>
      <c r="I351" s="38" t="str">
        <f t="shared" si="5"/>
        <v/>
      </c>
      <c r="J351" s="39" t="str">
        <f>IF(Tabela1[[#This Row],[Caixa]]="Receita","Recebido",IF(F351="","",IF(G351="","",IF(G351&lt;F351,"Pago atrasado",IF(Tabela1[[#This Row],[Data do Pagamento / Compra]]&gt;Tabela1[[#This Row],[Data de Compra]],"Pago","Pago")))))</f>
        <v/>
      </c>
    </row>
    <row r="352" spans="1:10" ht="21" hidden="1" customHeight="1" x14ac:dyDescent="0.2">
      <c r="A352" s="33"/>
      <c r="B352" s="34"/>
      <c r="C352" s="34"/>
      <c r="D352" s="34"/>
      <c r="E352" s="35"/>
      <c r="F352" s="36"/>
      <c r="G352" s="36"/>
      <c r="H352" s="37" t="str">
        <f>IFERROR(VLOOKUP(Tabela1[[#This Row],[Tag]],TAGS!$J$1:$K$11,2,0),"")</f>
        <v/>
      </c>
      <c r="I352" s="38" t="str">
        <f t="shared" si="5"/>
        <v/>
      </c>
      <c r="J352" s="39" t="str">
        <f>IF(Tabela1[[#This Row],[Caixa]]="Receita","Recebido",IF(F352="","",IF(G352="","",IF(G352&lt;F352,"Pago atrasado",IF(Tabela1[[#This Row],[Data do Pagamento / Compra]]&gt;Tabela1[[#This Row],[Data de Compra]],"Pago","Pago")))))</f>
        <v/>
      </c>
    </row>
    <row r="353" spans="1:10" ht="21" hidden="1" customHeight="1" x14ac:dyDescent="0.2">
      <c r="A353" s="33"/>
      <c r="B353" s="34"/>
      <c r="C353" s="34"/>
      <c r="D353" s="34"/>
      <c r="E353" s="35"/>
      <c r="F353" s="36"/>
      <c r="G353" s="36"/>
      <c r="H353" s="37" t="str">
        <f>IFERROR(VLOOKUP(Tabela1[[#This Row],[Tag]],TAGS!$J$1:$K$11,2,0),"")</f>
        <v/>
      </c>
      <c r="I353" s="38" t="str">
        <f t="shared" si="5"/>
        <v/>
      </c>
      <c r="J353" s="39" t="str">
        <f>IF(Tabela1[[#This Row],[Caixa]]="Receita","Recebido",IF(F353="","",IF(G353="","",IF(G353&lt;F353,"Pago atrasado",IF(Tabela1[[#This Row],[Data do Pagamento / Compra]]&gt;Tabela1[[#This Row],[Data de Compra]],"Pago","Pago")))))</f>
        <v/>
      </c>
    </row>
    <row r="354" spans="1:10" ht="21" hidden="1" customHeight="1" x14ac:dyDescent="0.2">
      <c r="A354" s="33"/>
      <c r="B354" s="34"/>
      <c r="C354" s="34"/>
      <c r="D354" s="34"/>
      <c r="E354" s="35"/>
      <c r="F354" s="36"/>
      <c r="G354" s="36"/>
      <c r="H354" s="37" t="str">
        <f>IFERROR(VLOOKUP(Tabela1[[#This Row],[Tag]],TAGS!$J$1:$K$11,2,0),"")</f>
        <v/>
      </c>
      <c r="I354" s="38" t="str">
        <f t="shared" si="5"/>
        <v/>
      </c>
      <c r="J354" s="39" t="str">
        <f>IF(Tabela1[[#This Row],[Caixa]]="Receita","Recebido",IF(F354="","",IF(G354="","",IF(G354&lt;F354,"Pago atrasado",IF(Tabela1[[#This Row],[Data do Pagamento / Compra]]&gt;Tabela1[[#This Row],[Data de Compra]],"Pago","Pago")))))</f>
        <v/>
      </c>
    </row>
    <row r="355" spans="1:10" ht="21" hidden="1" customHeight="1" x14ac:dyDescent="0.2">
      <c r="A355" s="33"/>
      <c r="B355" s="34"/>
      <c r="C355" s="34"/>
      <c r="D355" s="34"/>
      <c r="E355" s="35"/>
      <c r="F355" s="36"/>
      <c r="G355" s="36"/>
      <c r="H355" s="37" t="str">
        <f>IFERROR(VLOOKUP(Tabela1[[#This Row],[Tag]],TAGS!$J$1:$K$11,2,0),"")</f>
        <v/>
      </c>
      <c r="I355" s="38" t="str">
        <f t="shared" si="5"/>
        <v/>
      </c>
      <c r="J355" s="39" t="str">
        <f>IF(Tabela1[[#This Row],[Caixa]]="Receita","Recebido",IF(F355="","",IF(G355="","",IF(G355&lt;F355,"Pago atrasado",IF(Tabela1[[#This Row],[Data do Pagamento / Compra]]&gt;Tabela1[[#This Row],[Data de Compra]],"Pago","Pago")))))</f>
        <v/>
      </c>
    </row>
    <row r="356" spans="1:10" ht="21" hidden="1" customHeight="1" x14ac:dyDescent="0.2">
      <c r="A356" s="33"/>
      <c r="B356" s="34"/>
      <c r="C356" s="34"/>
      <c r="D356" s="34"/>
      <c r="E356" s="35"/>
      <c r="F356" s="36"/>
      <c r="G356" s="36"/>
      <c r="H356" s="37" t="str">
        <f>IFERROR(VLOOKUP(Tabela1[[#This Row],[Tag]],TAGS!$J$1:$K$11,2,0),"")</f>
        <v/>
      </c>
      <c r="I356" s="38" t="str">
        <f t="shared" si="5"/>
        <v/>
      </c>
      <c r="J356" s="39" t="str">
        <f>IF(Tabela1[[#This Row],[Caixa]]="Receita","Recebido",IF(F356="","",IF(G356="","",IF(G356&lt;F356,"Pago atrasado",IF(Tabela1[[#This Row],[Data do Pagamento / Compra]]&gt;Tabela1[[#This Row],[Data de Compra]],"Pago","Pago")))))</f>
        <v/>
      </c>
    </row>
    <row r="357" spans="1:10" ht="21" hidden="1" customHeight="1" x14ac:dyDescent="0.2">
      <c r="A357" s="33"/>
      <c r="B357" s="34"/>
      <c r="C357" s="34"/>
      <c r="D357" s="34"/>
      <c r="E357" s="35"/>
      <c r="F357" s="36"/>
      <c r="G357" s="36"/>
      <c r="H357" s="37" t="str">
        <f>IFERROR(VLOOKUP(Tabela1[[#This Row],[Tag]],TAGS!$J$1:$K$11,2,0),"")</f>
        <v/>
      </c>
      <c r="I357" s="38" t="str">
        <f t="shared" si="5"/>
        <v/>
      </c>
      <c r="J357" s="39" t="str">
        <f>IF(Tabela1[[#This Row],[Caixa]]="Receita","Recebido",IF(F357="","",IF(G357="","",IF(G357&lt;F357,"Pago atrasado",IF(Tabela1[[#This Row],[Data do Pagamento / Compra]]&gt;Tabela1[[#This Row],[Data de Compra]],"Pago","Pago")))))</f>
        <v/>
      </c>
    </row>
    <row r="358" spans="1:10" ht="21" hidden="1" customHeight="1" x14ac:dyDescent="0.2">
      <c r="A358" s="33"/>
      <c r="B358" s="34"/>
      <c r="C358" s="34"/>
      <c r="D358" s="34"/>
      <c r="E358" s="35"/>
      <c r="F358" s="36"/>
      <c r="G358" s="36"/>
      <c r="H358" s="37" t="str">
        <f>IFERROR(VLOOKUP(Tabela1[[#This Row],[Tag]],TAGS!$J$1:$K$11,2,0),"")</f>
        <v/>
      </c>
      <c r="I358" s="38" t="str">
        <f t="shared" si="5"/>
        <v/>
      </c>
      <c r="J358" s="39" t="str">
        <f>IF(Tabela1[[#This Row],[Caixa]]="Receita","Recebido",IF(F358="","",IF(G358="","",IF(G358&lt;F358,"Pago atrasado",IF(Tabela1[[#This Row],[Data do Pagamento / Compra]]&gt;Tabela1[[#This Row],[Data de Compra]],"Pago","Pago")))))</f>
        <v/>
      </c>
    </row>
    <row r="359" spans="1:10" ht="21" hidden="1" customHeight="1" x14ac:dyDescent="0.2">
      <c r="A359" s="33"/>
      <c r="B359" s="34"/>
      <c r="C359" s="34"/>
      <c r="D359" s="34"/>
      <c r="E359" s="35"/>
      <c r="F359" s="36"/>
      <c r="G359" s="36"/>
      <c r="H359" s="37" t="str">
        <f>IFERROR(VLOOKUP(Tabela1[[#This Row],[Tag]],TAGS!$J$1:$K$11,2,0),"")</f>
        <v/>
      </c>
      <c r="I359" s="38" t="str">
        <f t="shared" si="5"/>
        <v/>
      </c>
      <c r="J359" s="39" t="str">
        <f>IF(Tabela1[[#This Row],[Caixa]]="Receita","Recebido",IF(F359="","",IF(G359="","",IF(G359&lt;F359,"Pago atrasado",IF(Tabela1[[#This Row],[Data do Pagamento / Compra]]&gt;Tabela1[[#This Row],[Data de Compra]],"Pago","Pago")))))</f>
        <v/>
      </c>
    </row>
    <row r="360" spans="1:10" ht="21" hidden="1" customHeight="1" x14ac:dyDescent="0.2">
      <c r="A360" s="33"/>
      <c r="B360" s="34"/>
      <c r="C360" s="34"/>
      <c r="D360" s="34"/>
      <c r="E360" s="35"/>
      <c r="F360" s="36"/>
      <c r="G360" s="36"/>
      <c r="H360" s="37" t="str">
        <f>IFERROR(VLOOKUP(Tabela1[[#This Row],[Tag]],TAGS!$J$1:$K$11,2,0),"")</f>
        <v/>
      </c>
      <c r="I360" s="38" t="str">
        <f t="shared" si="5"/>
        <v/>
      </c>
      <c r="J360" s="39" t="str">
        <f>IF(Tabela1[[#This Row],[Caixa]]="Receita","Recebido",IF(F360="","",IF(G360="","",IF(G360&lt;F360,"Pago atrasado",IF(Tabela1[[#This Row],[Data do Pagamento / Compra]]&gt;Tabela1[[#This Row],[Data de Compra]],"Pago","Pago")))))</f>
        <v/>
      </c>
    </row>
    <row r="361" spans="1:10" ht="21" hidden="1" customHeight="1" x14ac:dyDescent="0.2">
      <c r="A361" s="33"/>
      <c r="B361" s="34"/>
      <c r="C361" s="34"/>
      <c r="D361" s="34"/>
      <c r="E361" s="35"/>
      <c r="F361" s="36"/>
      <c r="G361" s="36"/>
      <c r="H361" s="37" t="str">
        <f>IFERROR(VLOOKUP(Tabela1[[#This Row],[Tag]],TAGS!$J$1:$K$11,2,0),"")</f>
        <v/>
      </c>
      <c r="I361" s="38" t="str">
        <f t="shared" si="5"/>
        <v/>
      </c>
      <c r="J361" s="39" t="str">
        <f>IF(Tabela1[[#This Row],[Caixa]]="Receita","Recebido",IF(F361="","",IF(G361="","",IF(G361&lt;F361,"Pago atrasado",IF(Tabela1[[#This Row],[Data do Pagamento / Compra]]&gt;Tabela1[[#This Row],[Data de Compra]],"Pago","Pago")))))</f>
        <v/>
      </c>
    </row>
    <row r="362" spans="1:10" ht="21" hidden="1" customHeight="1" x14ac:dyDescent="0.2">
      <c r="A362" s="33"/>
      <c r="B362" s="34"/>
      <c r="C362" s="34"/>
      <c r="D362" s="34"/>
      <c r="E362" s="35"/>
      <c r="F362" s="36"/>
      <c r="G362" s="36"/>
      <c r="H362" s="37" t="str">
        <f>IFERROR(VLOOKUP(Tabela1[[#This Row],[Tag]],TAGS!$J$1:$K$11,2,0),"")</f>
        <v/>
      </c>
      <c r="I362" s="38" t="str">
        <f t="shared" si="5"/>
        <v/>
      </c>
      <c r="J362" s="39" t="str">
        <f>IF(Tabela1[[#This Row],[Caixa]]="Receita","Recebido",IF(F362="","",IF(G362="","",IF(G362&lt;F362,"Pago atrasado",IF(Tabela1[[#This Row],[Data do Pagamento / Compra]]&gt;Tabela1[[#This Row],[Data de Compra]],"Pago","Pago")))))</f>
        <v/>
      </c>
    </row>
    <row r="363" spans="1:10" ht="21" hidden="1" customHeight="1" x14ac:dyDescent="0.2">
      <c r="A363" s="33"/>
      <c r="B363" s="34"/>
      <c r="C363" s="34"/>
      <c r="D363" s="34"/>
      <c r="E363" s="35"/>
      <c r="F363" s="36"/>
      <c r="G363" s="36"/>
      <c r="H363" s="37" t="str">
        <f>IFERROR(VLOOKUP(Tabela1[[#This Row],[Tag]],TAGS!$J$1:$K$11,2,0),"")</f>
        <v/>
      </c>
      <c r="I363" s="38" t="str">
        <f t="shared" si="5"/>
        <v/>
      </c>
      <c r="J363" s="39" t="str">
        <f>IF(Tabela1[[#This Row],[Caixa]]="Receita","Recebido",IF(F363="","",IF(G363="","",IF(G363&lt;F363,"Pago atrasado",IF(Tabela1[[#This Row],[Data do Pagamento / Compra]]&gt;Tabela1[[#This Row],[Data de Compra]],"Pago","Pago")))))</f>
        <v/>
      </c>
    </row>
    <row r="364" spans="1:10" ht="21" hidden="1" customHeight="1" x14ac:dyDescent="0.2">
      <c r="A364" s="33"/>
      <c r="B364" s="34"/>
      <c r="C364" s="34"/>
      <c r="D364" s="34"/>
      <c r="E364" s="35"/>
      <c r="F364" s="36"/>
      <c r="G364" s="36"/>
      <c r="H364" s="37" t="str">
        <f>IFERROR(VLOOKUP(Tabela1[[#This Row],[Tag]],TAGS!$J$1:$K$11,2,0),"")</f>
        <v/>
      </c>
      <c r="I364" s="38" t="str">
        <f t="shared" si="5"/>
        <v/>
      </c>
      <c r="J364" s="39" t="str">
        <f>IF(Tabela1[[#This Row],[Caixa]]="Receita","Recebido",IF(F364="","",IF(G364="","",IF(G364&lt;F364,"Pago atrasado",IF(Tabela1[[#This Row],[Data do Pagamento / Compra]]&gt;Tabela1[[#This Row],[Data de Compra]],"Pago","Pago")))))</f>
        <v/>
      </c>
    </row>
    <row r="365" spans="1:10" ht="21" hidden="1" customHeight="1" x14ac:dyDescent="0.2">
      <c r="A365" s="33"/>
      <c r="B365" s="34"/>
      <c r="C365" s="34"/>
      <c r="D365" s="34"/>
      <c r="E365" s="35"/>
      <c r="F365" s="36"/>
      <c r="G365" s="36"/>
      <c r="H365" s="37" t="str">
        <f>IFERROR(VLOOKUP(Tabela1[[#This Row],[Tag]],TAGS!$J$1:$K$11,2,0),"")</f>
        <v/>
      </c>
      <c r="I365" s="38" t="str">
        <f t="shared" si="5"/>
        <v/>
      </c>
      <c r="J365" s="39" t="str">
        <f>IF(Tabela1[[#This Row],[Caixa]]="Receita","Recebido",IF(F365="","",IF(G365="","",IF(G365&lt;F365,"Pago atrasado",IF(Tabela1[[#This Row],[Data do Pagamento / Compra]]&gt;Tabela1[[#This Row],[Data de Compra]],"Pago","Pago")))))</f>
        <v/>
      </c>
    </row>
    <row r="366" spans="1:10" ht="21" hidden="1" customHeight="1" x14ac:dyDescent="0.2">
      <c r="A366" s="33"/>
      <c r="B366" s="34"/>
      <c r="C366" s="34"/>
      <c r="D366" s="34"/>
      <c r="E366" s="35"/>
      <c r="F366" s="36"/>
      <c r="G366" s="36"/>
      <c r="H366" s="37" t="str">
        <f>IFERROR(VLOOKUP(Tabela1[[#This Row],[Tag]],TAGS!$J$1:$K$11,2,0),"")</f>
        <v/>
      </c>
      <c r="I366" s="38" t="str">
        <f t="shared" si="5"/>
        <v/>
      </c>
      <c r="J366" s="39" t="str">
        <f>IF(Tabela1[[#This Row],[Caixa]]="Receita","Recebido",IF(F366="","",IF(G366="","",IF(G366&lt;F366,"Pago atrasado",IF(Tabela1[[#This Row],[Data do Pagamento / Compra]]&gt;Tabela1[[#This Row],[Data de Compra]],"Pago","Pago")))))</f>
        <v/>
      </c>
    </row>
    <row r="367" spans="1:10" ht="21" hidden="1" customHeight="1" x14ac:dyDescent="0.2">
      <c r="A367" s="33"/>
      <c r="B367" s="34"/>
      <c r="C367" s="34"/>
      <c r="D367" s="34"/>
      <c r="E367" s="35"/>
      <c r="F367" s="36"/>
      <c r="G367" s="36"/>
      <c r="H367" s="37" t="str">
        <f>IFERROR(VLOOKUP(Tabela1[[#This Row],[Tag]],TAGS!$J$1:$K$11,2,0),"")</f>
        <v/>
      </c>
      <c r="I367" s="38" t="str">
        <f t="shared" si="5"/>
        <v/>
      </c>
      <c r="J367" s="39" t="str">
        <f>IF(Tabela1[[#This Row],[Caixa]]="Receita","Recebido",IF(F367="","",IF(G367="","",IF(G367&lt;F367,"Pago atrasado",IF(Tabela1[[#This Row],[Data do Pagamento / Compra]]&gt;Tabela1[[#This Row],[Data de Compra]],"Pago","Pago")))))</f>
        <v/>
      </c>
    </row>
    <row r="368" spans="1:10" ht="21" hidden="1" customHeight="1" x14ac:dyDescent="0.2">
      <c r="A368" s="33"/>
      <c r="B368" s="34"/>
      <c r="C368" s="34"/>
      <c r="D368" s="34"/>
      <c r="E368" s="35"/>
      <c r="F368" s="36"/>
      <c r="G368" s="36"/>
      <c r="H368" s="37" t="str">
        <f>IFERROR(VLOOKUP(Tabela1[[#This Row],[Tag]],TAGS!$J$1:$K$11,2,0),"")</f>
        <v/>
      </c>
      <c r="I368" s="38" t="str">
        <f t="shared" si="5"/>
        <v/>
      </c>
      <c r="J368" s="39" t="str">
        <f>IF(Tabela1[[#This Row],[Caixa]]="Receita","Recebido",IF(F368="","",IF(G368="","",IF(G368&lt;F368,"Pago atrasado",IF(Tabela1[[#This Row],[Data do Pagamento / Compra]]&gt;Tabela1[[#This Row],[Data de Compra]],"Pago","Pago")))))</f>
        <v/>
      </c>
    </row>
    <row r="369" spans="1:10" ht="21" hidden="1" customHeight="1" x14ac:dyDescent="0.2">
      <c r="A369" s="33"/>
      <c r="B369" s="34"/>
      <c r="C369" s="34"/>
      <c r="D369" s="34"/>
      <c r="E369" s="35"/>
      <c r="F369" s="36"/>
      <c r="G369" s="36"/>
      <c r="H369" s="37" t="str">
        <f>IFERROR(VLOOKUP(Tabela1[[#This Row],[Tag]],TAGS!$J$1:$K$11,2,0),"")</f>
        <v/>
      </c>
      <c r="I369" s="38" t="str">
        <f t="shared" si="5"/>
        <v/>
      </c>
      <c r="J369" s="39" t="str">
        <f>IF(Tabela1[[#This Row],[Caixa]]="Receita","Recebido",IF(F369="","",IF(G369="","",IF(G369&lt;F369,"Pago atrasado",IF(Tabela1[[#This Row],[Data do Pagamento / Compra]]&gt;Tabela1[[#This Row],[Data de Compra]],"Pago","Pago")))))</f>
        <v/>
      </c>
    </row>
    <row r="370" spans="1:10" ht="21" hidden="1" customHeight="1" x14ac:dyDescent="0.2">
      <c r="A370" s="33"/>
      <c r="B370" s="34"/>
      <c r="C370" s="34"/>
      <c r="D370" s="34"/>
      <c r="E370" s="35"/>
      <c r="F370" s="36"/>
      <c r="G370" s="36"/>
      <c r="H370" s="37" t="str">
        <f>IFERROR(VLOOKUP(Tabela1[[#This Row],[Tag]],TAGS!$J$1:$K$11,2,0),"")</f>
        <v/>
      </c>
      <c r="I370" s="38" t="str">
        <f t="shared" si="5"/>
        <v/>
      </c>
      <c r="J370" s="39" t="str">
        <f>IF(Tabela1[[#This Row],[Caixa]]="Receita","Recebido",IF(F370="","",IF(G370="","",IF(G370&lt;F370,"Pago atrasado",IF(Tabela1[[#This Row],[Data do Pagamento / Compra]]&gt;Tabela1[[#This Row],[Data de Compra]],"Pago","Pago")))))</f>
        <v/>
      </c>
    </row>
    <row r="371" spans="1:10" ht="21" hidden="1" customHeight="1" x14ac:dyDescent="0.2">
      <c r="A371" s="33"/>
      <c r="B371" s="34"/>
      <c r="C371" s="34"/>
      <c r="D371" s="34"/>
      <c r="E371" s="35"/>
      <c r="F371" s="36"/>
      <c r="G371" s="36"/>
      <c r="H371" s="37" t="str">
        <f>IFERROR(VLOOKUP(Tabela1[[#This Row],[Tag]],TAGS!$J$1:$K$11,2,0),"")</f>
        <v/>
      </c>
      <c r="I371" s="38" t="str">
        <f t="shared" si="5"/>
        <v/>
      </c>
      <c r="J371" s="39" t="str">
        <f>IF(Tabela1[[#This Row],[Caixa]]="Receita","Recebido",IF(F371="","",IF(G371="","",IF(G371&lt;F371,"Pago atrasado",IF(Tabela1[[#This Row],[Data do Pagamento / Compra]]&gt;Tabela1[[#This Row],[Data de Compra]],"Pago","Pago")))))</f>
        <v/>
      </c>
    </row>
    <row r="372" spans="1:10" ht="21" hidden="1" customHeight="1" x14ac:dyDescent="0.2">
      <c r="A372" s="33"/>
      <c r="B372" s="34"/>
      <c r="C372" s="34"/>
      <c r="D372" s="34"/>
      <c r="E372" s="35"/>
      <c r="F372" s="36"/>
      <c r="G372" s="36"/>
      <c r="H372" s="37" t="str">
        <f>IFERROR(VLOOKUP(Tabela1[[#This Row],[Tag]],TAGS!$J$1:$K$11,2,0),"")</f>
        <v/>
      </c>
      <c r="I372" s="38" t="str">
        <f t="shared" si="5"/>
        <v/>
      </c>
      <c r="J372" s="39" t="str">
        <f>IF(Tabela1[[#This Row],[Caixa]]="Receita","Recebido",IF(F372="","",IF(G372="","",IF(G372&lt;F372,"Pago atrasado",IF(Tabela1[[#This Row],[Data do Pagamento / Compra]]&gt;Tabela1[[#This Row],[Data de Compra]],"Pago","Pago")))))</f>
        <v/>
      </c>
    </row>
    <row r="373" spans="1:10" ht="21" hidden="1" customHeight="1" x14ac:dyDescent="0.2">
      <c r="A373" s="33"/>
      <c r="B373" s="34"/>
      <c r="C373" s="34"/>
      <c r="D373" s="34"/>
      <c r="E373" s="35"/>
      <c r="F373" s="36"/>
      <c r="G373" s="36"/>
      <c r="H373" s="37" t="str">
        <f>IFERROR(VLOOKUP(Tabela1[[#This Row],[Tag]],TAGS!$J$1:$K$11,2,0),"")</f>
        <v/>
      </c>
      <c r="I373" s="38" t="str">
        <f t="shared" si="5"/>
        <v/>
      </c>
      <c r="J373" s="39" t="str">
        <f>IF(Tabela1[[#This Row],[Caixa]]="Receita","Recebido",IF(F373="","",IF(G373="","",IF(G373&lt;F373,"Pago atrasado",IF(Tabela1[[#This Row],[Data do Pagamento / Compra]]&gt;Tabela1[[#This Row],[Data de Compra]],"Pago","Pago")))))</f>
        <v/>
      </c>
    </row>
    <row r="374" spans="1:10" ht="21" hidden="1" customHeight="1" x14ac:dyDescent="0.2">
      <c r="A374" s="33"/>
      <c r="B374" s="34"/>
      <c r="C374" s="34"/>
      <c r="D374" s="34"/>
      <c r="E374" s="35"/>
      <c r="F374" s="36"/>
      <c r="G374" s="36"/>
      <c r="H374" s="37" t="str">
        <f>IFERROR(VLOOKUP(Tabela1[[#This Row],[Tag]],TAGS!$J$1:$K$11,2,0),"")</f>
        <v/>
      </c>
      <c r="I374" s="38" t="str">
        <f t="shared" si="5"/>
        <v/>
      </c>
      <c r="J374" s="39" t="str">
        <f>IF(Tabela1[[#This Row],[Caixa]]="Receita","Recebido",IF(F374="","",IF(G374="","",IF(G374&lt;F374,"Pago atrasado",IF(Tabela1[[#This Row],[Data do Pagamento / Compra]]&gt;Tabela1[[#This Row],[Data de Compra]],"Pago","Pago")))))</f>
        <v/>
      </c>
    </row>
    <row r="375" spans="1:10" ht="21" hidden="1" customHeight="1" x14ac:dyDescent="0.2">
      <c r="A375" s="33"/>
      <c r="B375" s="34"/>
      <c r="C375" s="34"/>
      <c r="D375" s="34"/>
      <c r="E375" s="35"/>
      <c r="F375" s="36"/>
      <c r="G375" s="36"/>
      <c r="H375" s="37" t="str">
        <f>IFERROR(VLOOKUP(Tabela1[[#This Row],[Tag]],TAGS!$J$1:$K$11,2,0),"")</f>
        <v/>
      </c>
      <c r="I375" s="38" t="str">
        <f t="shared" si="5"/>
        <v/>
      </c>
      <c r="J375" s="39" t="str">
        <f>IF(Tabela1[[#This Row],[Caixa]]="Receita","Recebido",IF(F375="","",IF(G375="","",IF(G375&lt;F375,"Pago atrasado",IF(Tabela1[[#This Row],[Data do Pagamento / Compra]]&gt;Tabela1[[#This Row],[Data de Compra]],"Pago","Pago")))))</f>
        <v/>
      </c>
    </row>
    <row r="376" spans="1:10" ht="21" hidden="1" customHeight="1" x14ac:dyDescent="0.2">
      <c r="A376" s="33"/>
      <c r="B376" s="34"/>
      <c r="C376" s="34"/>
      <c r="D376" s="34"/>
      <c r="E376" s="35"/>
      <c r="F376" s="36"/>
      <c r="G376" s="36"/>
      <c r="H376" s="37" t="str">
        <f>IFERROR(VLOOKUP(Tabela1[[#This Row],[Tag]],TAGS!$J$1:$K$11,2,0),"")</f>
        <v/>
      </c>
      <c r="I376" s="38" t="str">
        <f t="shared" si="5"/>
        <v/>
      </c>
      <c r="J376" s="39" t="str">
        <f>IF(Tabela1[[#This Row],[Caixa]]="Receita","Recebido",IF(F376="","",IF(G376="","",IF(G376&lt;F376,"Pago atrasado",IF(Tabela1[[#This Row],[Data do Pagamento / Compra]]&gt;Tabela1[[#This Row],[Data de Compra]],"Pago","Pago")))))</f>
        <v/>
      </c>
    </row>
    <row r="377" spans="1:10" ht="21" hidden="1" customHeight="1" x14ac:dyDescent="0.2">
      <c r="A377" s="33"/>
      <c r="B377" s="34"/>
      <c r="C377" s="34"/>
      <c r="D377" s="34"/>
      <c r="E377" s="35"/>
      <c r="F377" s="36"/>
      <c r="G377" s="36"/>
      <c r="H377" s="37" t="str">
        <f>IFERROR(VLOOKUP(Tabela1[[#This Row],[Tag]],TAGS!$J$1:$K$11,2,0),"")</f>
        <v/>
      </c>
      <c r="I377" s="38" t="str">
        <f t="shared" si="5"/>
        <v/>
      </c>
      <c r="J377" s="39" t="str">
        <f>IF(Tabela1[[#This Row],[Caixa]]="Receita","Recebido",IF(F377="","",IF(G377="","",IF(G377&lt;F377,"Pago atrasado",IF(Tabela1[[#This Row],[Data do Pagamento / Compra]]&gt;Tabela1[[#This Row],[Data de Compra]],"Pago","Pago")))))</f>
        <v/>
      </c>
    </row>
    <row r="378" spans="1:10" ht="21" hidden="1" customHeight="1" x14ac:dyDescent="0.2">
      <c r="A378" s="33"/>
      <c r="B378" s="34"/>
      <c r="C378" s="34"/>
      <c r="D378" s="34"/>
      <c r="E378" s="35"/>
      <c r="F378" s="36"/>
      <c r="G378" s="36"/>
      <c r="H378" s="37" t="str">
        <f>IFERROR(VLOOKUP(Tabela1[[#This Row],[Tag]],TAGS!$J$1:$K$11,2,0),"")</f>
        <v/>
      </c>
      <c r="I378" s="38" t="str">
        <f t="shared" si="5"/>
        <v/>
      </c>
      <c r="J378" s="39" t="str">
        <f>IF(Tabela1[[#This Row],[Caixa]]="Receita","Recebido",IF(F378="","",IF(G378="","",IF(G378&lt;F378,"Pago atrasado",IF(Tabela1[[#This Row],[Data do Pagamento / Compra]]&gt;Tabela1[[#This Row],[Data de Compra]],"Pago","Pago")))))</f>
        <v/>
      </c>
    </row>
    <row r="379" spans="1:10" ht="21" hidden="1" customHeight="1" x14ac:dyDescent="0.2">
      <c r="A379" s="33"/>
      <c r="B379" s="34"/>
      <c r="C379" s="34"/>
      <c r="D379" s="34"/>
      <c r="E379" s="35"/>
      <c r="F379" s="36"/>
      <c r="G379" s="36"/>
      <c r="H379" s="37" t="str">
        <f>IFERROR(VLOOKUP(Tabela1[[#This Row],[Tag]],TAGS!$J$1:$K$11,2,0),"")</f>
        <v/>
      </c>
      <c r="I379" s="38" t="str">
        <f t="shared" si="5"/>
        <v/>
      </c>
      <c r="J379" s="39" t="str">
        <f>IF(Tabela1[[#This Row],[Caixa]]="Receita","Recebido",IF(F379="","",IF(G379="","",IF(G379&lt;F379,"Pago atrasado",IF(Tabela1[[#This Row],[Data do Pagamento / Compra]]&gt;Tabela1[[#This Row],[Data de Compra]],"Pago","Pago")))))</f>
        <v/>
      </c>
    </row>
    <row r="380" spans="1:10" ht="21" hidden="1" customHeight="1" x14ac:dyDescent="0.2">
      <c r="A380" s="33"/>
      <c r="B380" s="34"/>
      <c r="C380" s="34"/>
      <c r="D380" s="34"/>
      <c r="E380" s="35"/>
      <c r="F380" s="36"/>
      <c r="G380" s="36"/>
      <c r="H380" s="37" t="str">
        <f>IFERROR(VLOOKUP(Tabela1[[#This Row],[Tag]],TAGS!$J$1:$K$11,2,0),"")</f>
        <v/>
      </c>
      <c r="I380" s="38" t="str">
        <f t="shared" si="5"/>
        <v/>
      </c>
      <c r="J380" s="39" t="str">
        <f>IF(Tabela1[[#This Row],[Caixa]]="Receita","Recebido",IF(F380="","",IF(G380="","",IF(G380&lt;F380,"Pago atrasado",IF(Tabela1[[#This Row],[Data do Pagamento / Compra]]&gt;Tabela1[[#This Row],[Data de Compra]],"Pago","Pago")))))</f>
        <v/>
      </c>
    </row>
    <row r="381" spans="1:10" ht="21" hidden="1" customHeight="1" x14ac:dyDescent="0.2">
      <c r="A381" s="33"/>
      <c r="B381" s="34"/>
      <c r="C381" s="34"/>
      <c r="D381" s="34"/>
      <c r="E381" s="35"/>
      <c r="F381" s="36"/>
      <c r="G381" s="36"/>
      <c r="H381" s="37" t="str">
        <f>IFERROR(VLOOKUP(Tabela1[[#This Row],[Tag]],TAGS!$J$1:$K$11,2,0),"")</f>
        <v/>
      </c>
      <c r="I381" s="38" t="str">
        <f t="shared" si="5"/>
        <v/>
      </c>
      <c r="J381" s="39" t="str">
        <f>IF(Tabela1[[#This Row],[Caixa]]="Receita","Recebido",IF(F381="","",IF(G381="","",IF(G381&lt;F381,"Pago atrasado",IF(Tabela1[[#This Row],[Data do Pagamento / Compra]]&gt;Tabela1[[#This Row],[Data de Compra]],"Pago","Pago")))))</f>
        <v/>
      </c>
    </row>
    <row r="382" spans="1:10" ht="21" hidden="1" customHeight="1" x14ac:dyDescent="0.2">
      <c r="A382" s="33"/>
      <c r="B382" s="34"/>
      <c r="C382" s="34"/>
      <c r="D382" s="34"/>
      <c r="E382" s="35"/>
      <c r="F382" s="36"/>
      <c r="G382" s="36"/>
      <c r="H382" s="37" t="str">
        <f>IFERROR(VLOOKUP(Tabela1[[#This Row],[Tag]],TAGS!$J$1:$K$11,2,0),"")</f>
        <v/>
      </c>
      <c r="I382" s="38" t="str">
        <f t="shared" si="5"/>
        <v/>
      </c>
      <c r="J382" s="39" t="str">
        <f>IF(Tabela1[[#This Row],[Caixa]]="Receita","Recebido",IF(F382="","",IF(G382="","",IF(G382&lt;F382,"Pago atrasado",IF(Tabela1[[#This Row],[Data do Pagamento / Compra]]&gt;Tabela1[[#This Row],[Data de Compra]],"Pago","Pago")))))</f>
        <v/>
      </c>
    </row>
    <row r="383" spans="1:10" ht="21" hidden="1" customHeight="1" x14ac:dyDescent="0.2">
      <c r="A383" s="33"/>
      <c r="B383" s="34"/>
      <c r="C383" s="34"/>
      <c r="D383" s="34"/>
      <c r="E383" s="35"/>
      <c r="F383" s="36"/>
      <c r="G383" s="36"/>
      <c r="H383" s="37" t="str">
        <f>IFERROR(VLOOKUP(Tabela1[[#This Row],[Tag]],TAGS!$J$1:$K$11,2,0),"")</f>
        <v/>
      </c>
      <c r="I383" s="38" t="str">
        <f t="shared" si="5"/>
        <v/>
      </c>
      <c r="J383" s="39" t="str">
        <f>IF(Tabela1[[#This Row],[Caixa]]="Receita","Recebido",IF(F383="","",IF(G383="","",IF(G383&lt;F383,"Pago atrasado",IF(Tabela1[[#This Row],[Data do Pagamento / Compra]]&gt;Tabela1[[#This Row],[Data de Compra]],"Pago","Pago")))))</f>
        <v/>
      </c>
    </row>
    <row r="384" spans="1:10" ht="21" hidden="1" customHeight="1" x14ac:dyDescent="0.2">
      <c r="A384" s="33"/>
      <c r="B384" s="34"/>
      <c r="C384" s="34"/>
      <c r="D384" s="34"/>
      <c r="E384" s="35"/>
      <c r="F384" s="36"/>
      <c r="G384" s="36"/>
      <c r="H384" s="37" t="str">
        <f>IFERROR(VLOOKUP(Tabela1[[#This Row],[Tag]],TAGS!$J$1:$K$11,2,0),"")</f>
        <v/>
      </c>
      <c r="I384" s="38" t="str">
        <f t="shared" si="5"/>
        <v/>
      </c>
      <c r="J384" s="39" t="str">
        <f>IF(Tabela1[[#This Row],[Caixa]]="Receita","Recebido",IF(F384="","",IF(G384="","",IF(G384&lt;F384,"Pago atrasado",IF(Tabela1[[#This Row],[Data do Pagamento / Compra]]&gt;Tabela1[[#This Row],[Data de Compra]],"Pago","Pago")))))</f>
        <v/>
      </c>
    </row>
    <row r="385" spans="1:10" ht="21" hidden="1" customHeight="1" x14ac:dyDescent="0.2">
      <c r="A385" s="33"/>
      <c r="B385" s="34"/>
      <c r="C385" s="34"/>
      <c r="D385" s="34"/>
      <c r="E385" s="35"/>
      <c r="F385" s="36"/>
      <c r="G385" s="36"/>
      <c r="H385" s="37" t="str">
        <f>IFERROR(VLOOKUP(Tabela1[[#This Row],[Tag]],TAGS!$J$1:$K$11,2,0),"")</f>
        <v/>
      </c>
      <c r="I385" s="38" t="str">
        <f t="shared" si="5"/>
        <v/>
      </c>
      <c r="J385" s="39" t="str">
        <f>IF(Tabela1[[#This Row],[Caixa]]="Receita","Recebido",IF(F385="","",IF(G385="","",IF(G385&lt;F385,"Pago atrasado",IF(Tabela1[[#This Row],[Data do Pagamento / Compra]]&gt;Tabela1[[#This Row],[Data de Compra]],"Pago","Pago")))))</f>
        <v/>
      </c>
    </row>
    <row r="386" spans="1:10" ht="21" hidden="1" customHeight="1" x14ac:dyDescent="0.2">
      <c r="A386" s="33"/>
      <c r="B386" s="34"/>
      <c r="C386" s="34"/>
      <c r="D386" s="34"/>
      <c r="E386" s="35"/>
      <c r="F386" s="36"/>
      <c r="G386" s="36"/>
      <c r="H386" s="37" t="str">
        <f>IFERROR(VLOOKUP(Tabela1[[#This Row],[Tag]],TAGS!$J$1:$K$11,2,0),"")</f>
        <v/>
      </c>
      <c r="I386" s="38" t="str">
        <f t="shared" si="5"/>
        <v/>
      </c>
      <c r="J386" s="39" t="str">
        <f>IF(Tabela1[[#This Row],[Caixa]]="Receita","Recebido",IF(F386="","",IF(G386="","",IF(G386&lt;F386,"Pago atrasado",IF(Tabela1[[#This Row],[Data do Pagamento / Compra]]&gt;Tabela1[[#This Row],[Data de Compra]],"Pago","Pago")))))</f>
        <v/>
      </c>
    </row>
    <row r="387" spans="1:10" ht="21" hidden="1" customHeight="1" x14ac:dyDescent="0.2">
      <c r="A387" s="33"/>
      <c r="B387" s="34"/>
      <c r="C387" s="34"/>
      <c r="D387" s="34"/>
      <c r="E387" s="35"/>
      <c r="F387" s="36"/>
      <c r="G387" s="36"/>
      <c r="H387" s="37" t="str">
        <f>IFERROR(VLOOKUP(Tabela1[[#This Row],[Tag]],TAGS!$J$1:$K$11,2,0),"")</f>
        <v/>
      </c>
      <c r="I387" s="38" t="str">
        <f t="shared" ref="I387:I450" si="6">IF(G387="","",TEXT(G387,"mmmm"))</f>
        <v/>
      </c>
      <c r="J387" s="39" t="str">
        <f>IF(Tabela1[[#This Row],[Caixa]]="Receita","Recebido",IF(F387="","",IF(G387="","",IF(G387&lt;F387,"Pago atrasado",IF(Tabela1[[#This Row],[Data do Pagamento / Compra]]&gt;Tabela1[[#This Row],[Data de Compra]],"Pago","Pago")))))</f>
        <v/>
      </c>
    </row>
    <row r="388" spans="1:10" ht="21" hidden="1" customHeight="1" x14ac:dyDescent="0.2">
      <c r="A388" s="33"/>
      <c r="B388" s="34"/>
      <c r="C388" s="34"/>
      <c r="D388" s="34"/>
      <c r="E388" s="35"/>
      <c r="F388" s="36"/>
      <c r="G388" s="36"/>
      <c r="H388" s="37" t="str">
        <f>IFERROR(VLOOKUP(Tabela1[[#This Row],[Tag]],TAGS!$J$1:$K$11,2,0),"")</f>
        <v/>
      </c>
      <c r="I388" s="38" t="str">
        <f t="shared" si="6"/>
        <v/>
      </c>
      <c r="J388" s="39" t="str">
        <f>IF(Tabela1[[#This Row],[Caixa]]="Receita","Recebido",IF(F388="","",IF(G388="","",IF(G388&lt;F388,"Pago atrasado",IF(Tabela1[[#This Row],[Data do Pagamento / Compra]]&gt;Tabela1[[#This Row],[Data de Compra]],"Pago","Pago")))))</f>
        <v/>
      </c>
    </row>
    <row r="389" spans="1:10" ht="21" hidden="1" customHeight="1" x14ac:dyDescent="0.2">
      <c r="A389" s="33"/>
      <c r="B389" s="34"/>
      <c r="C389" s="34"/>
      <c r="D389" s="34"/>
      <c r="E389" s="35"/>
      <c r="F389" s="36"/>
      <c r="G389" s="36"/>
      <c r="H389" s="37" t="str">
        <f>IFERROR(VLOOKUP(Tabela1[[#This Row],[Tag]],TAGS!$J$1:$K$11,2,0),"")</f>
        <v/>
      </c>
      <c r="I389" s="38" t="str">
        <f t="shared" si="6"/>
        <v/>
      </c>
      <c r="J389" s="39" t="str">
        <f>IF(Tabela1[[#This Row],[Caixa]]="Receita","Recebido",IF(F389="","",IF(G389="","",IF(G389&lt;F389,"Pago atrasado",IF(Tabela1[[#This Row],[Data do Pagamento / Compra]]&gt;Tabela1[[#This Row],[Data de Compra]],"Pago","Pago")))))</f>
        <v/>
      </c>
    </row>
    <row r="390" spans="1:10" ht="21" hidden="1" customHeight="1" x14ac:dyDescent="0.2">
      <c r="A390" s="33"/>
      <c r="B390" s="34"/>
      <c r="C390" s="34"/>
      <c r="D390" s="34"/>
      <c r="E390" s="35"/>
      <c r="F390" s="36"/>
      <c r="G390" s="36"/>
      <c r="H390" s="37" t="str">
        <f>IFERROR(VLOOKUP(Tabela1[[#This Row],[Tag]],TAGS!$J$1:$K$11,2,0),"")</f>
        <v/>
      </c>
      <c r="I390" s="38" t="str">
        <f t="shared" si="6"/>
        <v/>
      </c>
      <c r="J390" s="39" t="str">
        <f>IF(Tabela1[[#This Row],[Caixa]]="Receita","Recebido",IF(F390="","",IF(G390="","",IF(G390&lt;F390,"Pago atrasado",IF(Tabela1[[#This Row],[Data do Pagamento / Compra]]&gt;Tabela1[[#This Row],[Data de Compra]],"Pago","Pago")))))</f>
        <v/>
      </c>
    </row>
    <row r="391" spans="1:10" ht="21" hidden="1" customHeight="1" x14ac:dyDescent="0.2">
      <c r="A391" s="33"/>
      <c r="B391" s="34"/>
      <c r="C391" s="34"/>
      <c r="D391" s="34"/>
      <c r="E391" s="35"/>
      <c r="F391" s="36"/>
      <c r="G391" s="36"/>
      <c r="H391" s="37" t="str">
        <f>IFERROR(VLOOKUP(Tabela1[[#This Row],[Tag]],TAGS!$J$1:$K$11,2,0),"")</f>
        <v/>
      </c>
      <c r="I391" s="38" t="str">
        <f t="shared" si="6"/>
        <v/>
      </c>
      <c r="J391" s="39" t="str">
        <f>IF(Tabela1[[#This Row],[Caixa]]="Receita","Recebido",IF(F391="","",IF(G391="","",IF(G391&lt;F391,"Pago atrasado",IF(Tabela1[[#This Row],[Data do Pagamento / Compra]]&gt;Tabela1[[#This Row],[Data de Compra]],"Pago","Pago")))))</f>
        <v/>
      </c>
    </row>
    <row r="392" spans="1:10" ht="21" hidden="1" customHeight="1" x14ac:dyDescent="0.2">
      <c r="A392" s="33"/>
      <c r="B392" s="34"/>
      <c r="C392" s="34"/>
      <c r="D392" s="34"/>
      <c r="E392" s="35"/>
      <c r="F392" s="36"/>
      <c r="G392" s="36"/>
      <c r="H392" s="37" t="str">
        <f>IFERROR(VLOOKUP(Tabela1[[#This Row],[Tag]],TAGS!$J$1:$K$11,2,0),"")</f>
        <v/>
      </c>
      <c r="I392" s="38" t="str">
        <f t="shared" si="6"/>
        <v/>
      </c>
      <c r="J392" s="39" t="str">
        <f>IF(Tabela1[[#This Row],[Caixa]]="Receita","Recebido",IF(F392="","",IF(G392="","",IF(G392&lt;F392,"Pago atrasado",IF(Tabela1[[#This Row],[Data do Pagamento / Compra]]&gt;Tabela1[[#This Row],[Data de Compra]],"Pago","Pago")))))</f>
        <v/>
      </c>
    </row>
    <row r="393" spans="1:10" ht="21" hidden="1" customHeight="1" x14ac:dyDescent="0.2">
      <c r="A393" s="33"/>
      <c r="B393" s="34"/>
      <c r="C393" s="34"/>
      <c r="D393" s="34"/>
      <c r="E393" s="35"/>
      <c r="F393" s="36"/>
      <c r="G393" s="36"/>
      <c r="H393" s="37" t="str">
        <f>IFERROR(VLOOKUP(Tabela1[[#This Row],[Tag]],TAGS!$J$1:$K$11,2,0),"")</f>
        <v/>
      </c>
      <c r="I393" s="38" t="str">
        <f t="shared" si="6"/>
        <v/>
      </c>
      <c r="J393" s="39" t="str">
        <f>IF(Tabela1[[#This Row],[Caixa]]="Receita","Recebido",IF(F393="","",IF(G393="","",IF(G393&lt;F393,"Pago atrasado",IF(Tabela1[[#This Row],[Data do Pagamento / Compra]]&gt;Tabela1[[#This Row],[Data de Compra]],"Pago","Pago")))))</f>
        <v/>
      </c>
    </row>
    <row r="394" spans="1:10" ht="21" hidden="1" customHeight="1" x14ac:dyDescent="0.2">
      <c r="A394" s="33"/>
      <c r="B394" s="34"/>
      <c r="C394" s="34"/>
      <c r="D394" s="34"/>
      <c r="E394" s="35"/>
      <c r="F394" s="36"/>
      <c r="G394" s="36"/>
      <c r="H394" s="37" t="str">
        <f>IFERROR(VLOOKUP(Tabela1[[#This Row],[Tag]],TAGS!$J$1:$K$11,2,0),"")</f>
        <v/>
      </c>
      <c r="I394" s="38" t="str">
        <f t="shared" si="6"/>
        <v/>
      </c>
      <c r="J394" s="39" t="str">
        <f>IF(Tabela1[[#This Row],[Caixa]]="Receita","Recebido",IF(F394="","",IF(G394="","",IF(G394&lt;F394,"Pago atrasado",IF(Tabela1[[#This Row],[Data do Pagamento / Compra]]&gt;Tabela1[[#This Row],[Data de Compra]],"Pago","Pago")))))</f>
        <v/>
      </c>
    </row>
    <row r="395" spans="1:10" ht="21" hidden="1" customHeight="1" x14ac:dyDescent="0.2">
      <c r="A395" s="33"/>
      <c r="B395" s="34"/>
      <c r="C395" s="34"/>
      <c r="D395" s="34"/>
      <c r="E395" s="35"/>
      <c r="F395" s="36"/>
      <c r="G395" s="36"/>
      <c r="H395" s="37" t="str">
        <f>IFERROR(VLOOKUP(Tabela1[[#This Row],[Tag]],TAGS!$J$1:$K$11,2,0),"")</f>
        <v/>
      </c>
      <c r="I395" s="38" t="str">
        <f t="shared" si="6"/>
        <v/>
      </c>
      <c r="J395" s="39" t="str">
        <f>IF(Tabela1[[#This Row],[Caixa]]="Receita","Recebido",IF(F395="","",IF(G395="","",IF(G395&lt;F395,"Pago atrasado",IF(Tabela1[[#This Row],[Data do Pagamento / Compra]]&gt;Tabela1[[#This Row],[Data de Compra]],"Pago","Pago")))))</f>
        <v/>
      </c>
    </row>
    <row r="396" spans="1:10" ht="21" hidden="1" customHeight="1" x14ac:dyDescent="0.2">
      <c r="A396" s="33"/>
      <c r="B396" s="34"/>
      <c r="C396" s="34"/>
      <c r="D396" s="34"/>
      <c r="E396" s="35"/>
      <c r="F396" s="36"/>
      <c r="G396" s="36"/>
      <c r="H396" s="37" t="str">
        <f>IFERROR(VLOOKUP(Tabela1[[#This Row],[Tag]],TAGS!$J$1:$K$11,2,0),"")</f>
        <v/>
      </c>
      <c r="I396" s="38" t="str">
        <f t="shared" si="6"/>
        <v/>
      </c>
      <c r="J396" s="39" t="str">
        <f>IF(Tabela1[[#This Row],[Caixa]]="Receita","Recebido",IF(F396="","",IF(G396="","",IF(G396&lt;F396,"Pago atrasado",IF(Tabela1[[#This Row],[Data do Pagamento / Compra]]&gt;Tabela1[[#This Row],[Data de Compra]],"Pago","Pago")))))</f>
        <v/>
      </c>
    </row>
    <row r="397" spans="1:10" ht="21" hidden="1" customHeight="1" x14ac:dyDescent="0.2">
      <c r="A397" s="33"/>
      <c r="B397" s="34"/>
      <c r="C397" s="34"/>
      <c r="D397" s="34"/>
      <c r="E397" s="35"/>
      <c r="F397" s="36"/>
      <c r="G397" s="36"/>
      <c r="H397" s="37" t="str">
        <f>IFERROR(VLOOKUP(Tabela1[[#This Row],[Tag]],TAGS!$J$1:$K$11,2,0),"")</f>
        <v/>
      </c>
      <c r="I397" s="38" t="str">
        <f t="shared" si="6"/>
        <v/>
      </c>
      <c r="J397" s="39" t="str">
        <f>IF(Tabela1[[#This Row],[Caixa]]="Receita","Recebido",IF(F397="","",IF(G397="","",IF(G397&lt;F397,"Pago atrasado",IF(Tabela1[[#This Row],[Data do Pagamento / Compra]]&gt;Tabela1[[#This Row],[Data de Compra]],"Pago","Pago")))))</f>
        <v/>
      </c>
    </row>
    <row r="398" spans="1:10" ht="21" hidden="1" customHeight="1" x14ac:dyDescent="0.2">
      <c r="A398" s="33"/>
      <c r="B398" s="34"/>
      <c r="C398" s="34"/>
      <c r="D398" s="34"/>
      <c r="E398" s="35"/>
      <c r="F398" s="36"/>
      <c r="G398" s="36"/>
      <c r="H398" s="37" t="str">
        <f>IFERROR(VLOOKUP(Tabela1[[#This Row],[Tag]],TAGS!$J$1:$K$11,2,0),"")</f>
        <v/>
      </c>
      <c r="I398" s="38" t="str">
        <f t="shared" si="6"/>
        <v/>
      </c>
      <c r="J398" s="39" t="str">
        <f>IF(Tabela1[[#This Row],[Caixa]]="Receita","Recebido",IF(F398="","",IF(G398="","",IF(G398&lt;F398,"Pago atrasado",IF(Tabela1[[#This Row],[Data do Pagamento / Compra]]&gt;Tabela1[[#This Row],[Data de Compra]],"Pago","Pago")))))</f>
        <v/>
      </c>
    </row>
    <row r="399" spans="1:10" ht="21" hidden="1" customHeight="1" x14ac:dyDescent="0.2">
      <c r="A399" s="33"/>
      <c r="B399" s="34"/>
      <c r="C399" s="34"/>
      <c r="D399" s="34"/>
      <c r="E399" s="35"/>
      <c r="F399" s="36"/>
      <c r="G399" s="36"/>
      <c r="H399" s="37" t="str">
        <f>IFERROR(VLOOKUP(Tabela1[[#This Row],[Tag]],TAGS!$J$1:$K$11,2,0),"")</f>
        <v/>
      </c>
      <c r="I399" s="38" t="str">
        <f t="shared" si="6"/>
        <v/>
      </c>
      <c r="J399" s="39" t="str">
        <f>IF(Tabela1[[#This Row],[Caixa]]="Receita","Recebido",IF(F399="","",IF(G399="","",IF(G399&lt;F399,"Pago atrasado",IF(Tabela1[[#This Row],[Data do Pagamento / Compra]]&gt;Tabela1[[#This Row],[Data de Compra]],"Pago","Pago")))))</f>
        <v/>
      </c>
    </row>
    <row r="400" spans="1:10" ht="21" hidden="1" customHeight="1" x14ac:dyDescent="0.2">
      <c r="A400" s="33"/>
      <c r="B400" s="34"/>
      <c r="C400" s="34"/>
      <c r="D400" s="34"/>
      <c r="E400" s="35"/>
      <c r="F400" s="36"/>
      <c r="G400" s="36"/>
      <c r="H400" s="37" t="str">
        <f>IFERROR(VLOOKUP(Tabela1[[#This Row],[Tag]],TAGS!$J$1:$K$11,2,0),"")</f>
        <v/>
      </c>
      <c r="I400" s="38" t="str">
        <f t="shared" si="6"/>
        <v/>
      </c>
      <c r="J400" s="39" t="str">
        <f>IF(Tabela1[[#This Row],[Caixa]]="Receita","Recebido",IF(F400="","",IF(G400="","",IF(G400&lt;F400,"Pago atrasado",IF(Tabela1[[#This Row],[Data do Pagamento / Compra]]&gt;Tabela1[[#This Row],[Data de Compra]],"Pago","Pago")))))</f>
        <v/>
      </c>
    </row>
    <row r="401" spans="1:10" ht="21" hidden="1" customHeight="1" x14ac:dyDescent="0.2">
      <c r="A401" s="33"/>
      <c r="B401" s="34"/>
      <c r="C401" s="34"/>
      <c r="D401" s="34"/>
      <c r="E401" s="35"/>
      <c r="F401" s="36"/>
      <c r="G401" s="36"/>
      <c r="H401" s="37" t="str">
        <f>IFERROR(VLOOKUP(Tabela1[[#This Row],[Tag]],TAGS!$J$1:$K$11,2,0),"")</f>
        <v/>
      </c>
      <c r="I401" s="38" t="str">
        <f t="shared" si="6"/>
        <v/>
      </c>
      <c r="J401" s="39" t="str">
        <f>IF(Tabela1[[#This Row],[Caixa]]="Receita","Recebido",IF(F401="","",IF(G401="","",IF(G401&lt;F401,"Pago atrasado",IF(Tabela1[[#This Row],[Data do Pagamento / Compra]]&gt;Tabela1[[#This Row],[Data de Compra]],"Pago","Pago")))))</f>
        <v/>
      </c>
    </row>
    <row r="402" spans="1:10" ht="21" hidden="1" customHeight="1" x14ac:dyDescent="0.2">
      <c r="A402" s="33"/>
      <c r="B402" s="34"/>
      <c r="C402" s="34"/>
      <c r="D402" s="34"/>
      <c r="E402" s="35"/>
      <c r="F402" s="36"/>
      <c r="G402" s="36"/>
      <c r="H402" s="37" t="str">
        <f>IFERROR(VLOOKUP(Tabela1[[#This Row],[Tag]],TAGS!$J$1:$K$11,2,0),"")</f>
        <v/>
      </c>
      <c r="I402" s="38" t="str">
        <f t="shared" si="6"/>
        <v/>
      </c>
      <c r="J402" s="39" t="str">
        <f>IF(Tabela1[[#This Row],[Caixa]]="Receita","Recebido",IF(F402="","",IF(G402="","",IF(G402&lt;F402,"Pago atrasado",IF(Tabela1[[#This Row],[Data do Pagamento / Compra]]&gt;Tabela1[[#This Row],[Data de Compra]],"Pago","Pago")))))</f>
        <v/>
      </c>
    </row>
    <row r="403" spans="1:10" ht="21" hidden="1" customHeight="1" x14ac:dyDescent="0.2">
      <c r="A403" s="33"/>
      <c r="B403" s="34"/>
      <c r="C403" s="34"/>
      <c r="D403" s="34"/>
      <c r="E403" s="35"/>
      <c r="F403" s="36"/>
      <c r="G403" s="36"/>
      <c r="H403" s="37" t="str">
        <f>IFERROR(VLOOKUP(Tabela1[[#This Row],[Tag]],TAGS!$J$1:$K$11,2,0),"")</f>
        <v/>
      </c>
      <c r="I403" s="38" t="str">
        <f t="shared" si="6"/>
        <v/>
      </c>
      <c r="J403" s="39" t="str">
        <f>IF(Tabela1[[#This Row],[Caixa]]="Receita","Recebido",IF(F403="","",IF(G403="","",IF(G403&lt;F403,"Pago atrasado",IF(Tabela1[[#This Row],[Data do Pagamento / Compra]]&gt;Tabela1[[#This Row],[Data de Compra]],"Pago","Pago")))))</f>
        <v/>
      </c>
    </row>
    <row r="404" spans="1:10" ht="21" hidden="1" customHeight="1" x14ac:dyDescent="0.2">
      <c r="A404" s="33"/>
      <c r="B404" s="34"/>
      <c r="C404" s="34"/>
      <c r="D404" s="34"/>
      <c r="E404" s="35"/>
      <c r="F404" s="36"/>
      <c r="G404" s="36"/>
      <c r="H404" s="37" t="str">
        <f>IFERROR(VLOOKUP(Tabela1[[#This Row],[Tag]],TAGS!$J$1:$K$11,2,0),"")</f>
        <v/>
      </c>
      <c r="I404" s="38" t="str">
        <f t="shared" si="6"/>
        <v/>
      </c>
      <c r="J404" s="39" t="str">
        <f>IF(Tabela1[[#This Row],[Caixa]]="Receita","Recebido",IF(F404="","",IF(G404="","",IF(G404&lt;F404,"Pago atrasado",IF(Tabela1[[#This Row],[Data do Pagamento / Compra]]&gt;Tabela1[[#This Row],[Data de Compra]],"Pago","Pago")))))</f>
        <v/>
      </c>
    </row>
    <row r="405" spans="1:10" ht="21" hidden="1" customHeight="1" x14ac:dyDescent="0.2">
      <c r="A405" s="33"/>
      <c r="B405" s="34"/>
      <c r="C405" s="34"/>
      <c r="D405" s="34"/>
      <c r="E405" s="35"/>
      <c r="F405" s="36"/>
      <c r="G405" s="36"/>
      <c r="H405" s="37" t="str">
        <f>IFERROR(VLOOKUP(Tabela1[[#This Row],[Tag]],TAGS!$J$1:$K$11,2,0),"")</f>
        <v/>
      </c>
      <c r="I405" s="38" t="str">
        <f t="shared" si="6"/>
        <v/>
      </c>
      <c r="J405" s="39" t="str">
        <f>IF(Tabela1[[#This Row],[Caixa]]="Receita","Recebido",IF(F405="","",IF(G405="","",IF(G405&lt;F405,"Pago atrasado",IF(Tabela1[[#This Row],[Data do Pagamento / Compra]]&gt;Tabela1[[#This Row],[Data de Compra]],"Pago","Pago")))))</f>
        <v/>
      </c>
    </row>
    <row r="406" spans="1:10" ht="21" hidden="1" customHeight="1" x14ac:dyDescent="0.2">
      <c r="A406" s="33"/>
      <c r="B406" s="34"/>
      <c r="C406" s="34"/>
      <c r="D406" s="34"/>
      <c r="E406" s="35"/>
      <c r="F406" s="36"/>
      <c r="G406" s="36"/>
      <c r="H406" s="37" t="str">
        <f>IFERROR(VLOOKUP(Tabela1[[#This Row],[Tag]],TAGS!$J$1:$K$11,2,0),"")</f>
        <v/>
      </c>
      <c r="I406" s="38" t="str">
        <f t="shared" si="6"/>
        <v/>
      </c>
      <c r="J406" s="39" t="str">
        <f>IF(Tabela1[[#This Row],[Caixa]]="Receita","Recebido",IF(F406="","",IF(G406="","",IF(G406&lt;F406,"Pago atrasado",IF(Tabela1[[#This Row],[Data do Pagamento / Compra]]&gt;Tabela1[[#This Row],[Data de Compra]],"Pago","Pago")))))</f>
        <v/>
      </c>
    </row>
    <row r="407" spans="1:10" ht="21" hidden="1" customHeight="1" x14ac:dyDescent="0.2">
      <c r="A407" s="33"/>
      <c r="B407" s="34"/>
      <c r="C407" s="34"/>
      <c r="D407" s="34"/>
      <c r="E407" s="35"/>
      <c r="F407" s="36"/>
      <c r="G407" s="36"/>
      <c r="H407" s="37" t="str">
        <f>IFERROR(VLOOKUP(Tabela1[[#This Row],[Tag]],TAGS!$J$1:$K$11,2,0),"")</f>
        <v/>
      </c>
      <c r="I407" s="38" t="str">
        <f t="shared" si="6"/>
        <v/>
      </c>
      <c r="J407" s="39" t="str">
        <f>IF(Tabela1[[#This Row],[Caixa]]="Receita","Recebido",IF(F407="","",IF(G407="","",IF(G407&lt;F407,"Pago atrasado",IF(Tabela1[[#This Row],[Data do Pagamento / Compra]]&gt;Tabela1[[#This Row],[Data de Compra]],"Pago","Pago")))))</f>
        <v/>
      </c>
    </row>
    <row r="408" spans="1:10" ht="21" hidden="1" customHeight="1" x14ac:dyDescent="0.2">
      <c r="A408" s="33"/>
      <c r="B408" s="34"/>
      <c r="C408" s="34"/>
      <c r="D408" s="34"/>
      <c r="E408" s="35"/>
      <c r="F408" s="36"/>
      <c r="G408" s="36"/>
      <c r="H408" s="37" t="str">
        <f>IFERROR(VLOOKUP(Tabela1[[#This Row],[Tag]],TAGS!$J$1:$K$11,2,0),"")</f>
        <v/>
      </c>
      <c r="I408" s="38" t="str">
        <f t="shared" si="6"/>
        <v/>
      </c>
      <c r="J408" s="39" t="str">
        <f>IF(Tabela1[[#This Row],[Caixa]]="Receita","Recebido",IF(F408="","",IF(G408="","",IF(G408&lt;F408,"Pago atrasado",IF(Tabela1[[#This Row],[Data do Pagamento / Compra]]&gt;Tabela1[[#This Row],[Data de Compra]],"Pago","Pago")))))</f>
        <v/>
      </c>
    </row>
    <row r="409" spans="1:10" ht="21" hidden="1" customHeight="1" x14ac:dyDescent="0.2">
      <c r="A409" s="33"/>
      <c r="B409" s="34"/>
      <c r="C409" s="34"/>
      <c r="D409" s="34"/>
      <c r="E409" s="35"/>
      <c r="F409" s="36"/>
      <c r="G409" s="36"/>
      <c r="H409" s="37" t="str">
        <f>IFERROR(VLOOKUP(Tabela1[[#This Row],[Tag]],TAGS!$J$1:$K$11,2,0),"")</f>
        <v/>
      </c>
      <c r="I409" s="38" t="str">
        <f t="shared" si="6"/>
        <v/>
      </c>
      <c r="J409" s="39" t="str">
        <f>IF(Tabela1[[#This Row],[Caixa]]="Receita","Recebido",IF(F409="","",IF(G409="","",IF(G409&lt;F409,"Pago atrasado",IF(Tabela1[[#This Row],[Data do Pagamento / Compra]]&gt;Tabela1[[#This Row],[Data de Compra]],"Pago","Pago")))))</f>
        <v/>
      </c>
    </row>
    <row r="410" spans="1:10" ht="21" hidden="1" customHeight="1" x14ac:dyDescent="0.2">
      <c r="A410" s="33"/>
      <c r="B410" s="34"/>
      <c r="C410" s="34"/>
      <c r="D410" s="34"/>
      <c r="E410" s="35"/>
      <c r="F410" s="36"/>
      <c r="G410" s="36"/>
      <c r="H410" s="37" t="str">
        <f>IFERROR(VLOOKUP(Tabela1[[#This Row],[Tag]],TAGS!$J$1:$K$11,2,0),"")</f>
        <v/>
      </c>
      <c r="I410" s="38" t="str">
        <f t="shared" si="6"/>
        <v/>
      </c>
      <c r="J410" s="39" t="str">
        <f>IF(Tabela1[[#This Row],[Caixa]]="Receita","Recebido",IF(F410="","",IF(G410="","",IF(G410&lt;F410,"Pago atrasado",IF(Tabela1[[#This Row],[Data do Pagamento / Compra]]&gt;Tabela1[[#This Row],[Data de Compra]],"Pago","Pago")))))</f>
        <v/>
      </c>
    </row>
    <row r="411" spans="1:10" ht="21" hidden="1" customHeight="1" x14ac:dyDescent="0.2">
      <c r="A411" s="33"/>
      <c r="B411" s="34"/>
      <c r="C411" s="34"/>
      <c r="D411" s="34"/>
      <c r="E411" s="35"/>
      <c r="F411" s="36"/>
      <c r="G411" s="36"/>
      <c r="H411" s="37" t="str">
        <f>IFERROR(VLOOKUP(Tabela1[[#This Row],[Tag]],TAGS!$J$1:$K$11,2,0),"")</f>
        <v/>
      </c>
      <c r="I411" s="38" t="str">
        <f t="shared" si="6"/>
        <v/>
      </c>
      <c r="J411" s="39" t="str">
        <f>IF(Tabela1[[#This Row],[Caixa]]="Receita","Recebido",IF(F411="","",IF(G411="","",IF(G411&lt;F411,"Pago atrasado",IF(Tabela1[[#This Row],[Data do Pagamento / Compra]]&gt;Tabela1[[#This Row],[Data de Compra]],"Pago","Pago")))))</f>
        <v/>
      </c>
    </row>
    <row r="412" spans="1:10" ht="21" hidden="1" customHeight="1" x14ac:dyDescent="0.2">
      <c r="A412" s="33"/>
      <c r="B412" s="34"/>
      <c r="C412" s="34"/>
      <c r="D412" s="34"/>
      <c r="E412" s="35"/>
      <c r="F412" s="36"/>
      <c r="G412" s="36"/>
      <c r="H412" s="37" t="str">
        <f>IFERROR(VLOOKUP(Tabela1[[#This Row],[Tag]],TAGS!$J$1:$K$11,2,0),"")</f>
        <v/>
      </c>
      <c r="I412" s="38" t="str">
        <f t="shared" si="6"/>
        <v/>
      </c>
      <c r="J412" s="39" t="str">
        <f>IF(Tabela1[[#This Row],[Caixa]]="Receita","Recebido",IF(F412="","",IF(G412="","",IF(G412&lt;F412,"Pago atrasado",IF(Tabela1[[#This Row],[Data do Pagamento / Compra]]&gt;Tabela1[[#This Row],[Data de Compra]],"Pago","Pago")))))</f>
        <v/>
      </c>
    </row>
    <row r="413" spans="1:10" ht="21" hidden="1" customHeight="1" x14ac:dyDescent="0.2">
      <c r="A413" s="33"/>
      <c r="B413" s="34"/>
      <c r="C413" s="34"/>
      <c r="D413" s="34"/>
      <c r="E413" s="35"/>
      <c r="F413" s="36"/>
      <c r="G413" s="36"/>
      <c r="H413" s="37" t="str">
        <f>IFERROR(VLOOKUP(Tabela1[[#This Row],[Tag]],TAGS!$J$1:$K$11,2,0),"")</f>
        <v/>
      </c>
      <c r="I413" s="38" t="str">
        <f t="shared" si="6"/>
        <v/>
      </c>
      <c r="J413" s="39" t="str">
        <f>IF(Tabela1[[#This Row],[Caixa]]="Receita","Recebido",IF(F413="","",IF(G413="","",IF(G413&lt;F413,"Pago atrasado",IF(Tabela1[[#This Row],[Data do Pagamento / Compra]]&gt;Tabela1[[#This Row],[Data de Compra]],"Pago","Pago")))))</f>
        <v/>
      </c>
    </row>
    <row r="414" spans="1:10" ht="21" hidden="1" customHeight="1" x14ac:dyDescent="0.2">
      <c r="A414" s="33"/>
      <c r="B414" s="34"/>
      <c r="C414" s="34"/>
      <c r="D414" s="34"/>
      <c r="E414" s="35"/>
      <c r="F414" s="36"/>
      <c r="G414" s="36"/>
      <c r="H414" s="37" t="str">
        <f>IFERROR(VLOOKUP(Tabela1[[#This Row],[Tag]],TAGS!$J$1:$K$11,2,0),"")</f>
        <v/>
      </c>
      <c r="I414" s="38" t="str">
        <f t="shared" si="6"/>
        <v/>
      </c>
      <c r="J414" s="39" t="str">
        <f>IF(Tabela1[[#This Row],[Caixa]]="Receita","Recebido",IF(F414="","",IF(G414="","",IF(G414&lt;F414,"Pago atrasado",IF(Tabela1[[#This Row],[Data do Pagamento / Compra]]&gt;Tabela1[[#This Row],[Data de Compra]],"Pago","Pago")))))</f>
        <v/>
      </c>
    </row>
    <row r="415" spans="1:10" ht="21" hidden="1" customHeight="1" x14ac:dyDescent="0.2">
      <c r="A415" s="33"/>
      <c r="B415" s="34"/>
      <c r="C415" s="34"/>
      <c r="D415" s="34"/>
      <c r="E415" s="35"/>
      <c r="F415" s="36"/>
      <c r="G415" s="36"/>
      <c r="H415" s="37" t="str">
        <f>IFERROR(VLOOKUP(Tabela1[[#This Row],[Tag]],TAGS!$J$1:$K$11,2,0),"")</f>
        <v/>
      </c>
      <c r="I415" s="38" t="str">
        <f t="shared" si="6"/>
        <v/>
      </c>
      <c r="J415" s="39" t="str">
        <f>IF(Tabela1[[#This Row],[Caixa]]="Receita","Recebido",IF(F415="","",IF(G415="","",IF(G415&lt;F415,"Pago atrasado",IF(Tabela1[[#This Row],[Data do Pagamento / Compra]]&gt;Tabela1[[#This Row],[Data de Compra]],"Pago","Pago")))))</f>
        <v/>
      </c>
    </row>
    <row r="416" spans="1:10" ht="21" hidden="1" customHeight="1" x14ac:dyDescent="0.2">
      <c r="A416" s="33"/>
      <c r="B416" s="34"/>
      <c r="C416" s="34"/>
      <c r="D416" s="34"/>
      <c r="E416" s="35"/>
      <c r="F416" s="36"/>
      <c r="G416" s="36"/>
      <c r="H416" s="37" t="str">
        <f>IFERROR(VLOOKUP(Tabela1[[#This Row],[Tag]],TAGS!$J$1:$K$11,2,0),"")</f>
        <v/>
      </c>
      <c r="I416" s="38" t="str">
        <f t="shared" si="6"/>
        <v/>
      </c>
      <c r="J416" s="39" t="str">
        <f>IF(Tabela1[[#This Row],[Caixa]]="Receita","Recebido",IF(F416="","",IF(G416="","",IF(G416&lt;F416,"Pago atrasado",IF(Tabela1[[#This Row],[Data do Pagamento / Compra]]&gt;Tabela1[[#This Row],[Data de Compra]],"Pago","Pago")))))</f>
        <v/>
      </c>
    </row>
    <row r="417" spans="1:10" ht="21" hidden="1" customHeight="1" x14ac:dyDescent="0.2">
      <c r="A417" s="33"/>
      <c r="B417" s="34"/>
      <c r="C417" s="34"/>
      <c r="D417" s="34"/>
      <c r="E417" s="35"/>
      <c r="F417" s="36"/>
      <c r="G417" s="36"/>
      <c r="H417" s="37" t="str">
        <f>IFERROR(VLOOKUP(Tabela1[[#This Row],[Tag]],TAGS!$J$1:$K$11,2,0),"")</f>
        <v/>
      </c>
      <c r="I417" s="38" t="str">
        <f t="shared" si="6"/>
        <v/>
      </c>
      <c r="J417" s="39" t="str">
        <f>IF(Tabela1[[#This Row],[Caixa]]="Receita","Recebido",IF(F417="","",IF(G417="","",IF(G417&lt;F417,"Pago atrasado",IF(Tabela1[[#This Row],[Data do Pagamento / Compra]]&gt;Tabela1[[#This Row],[Data de Compra]],"Pago","Pago")))))</f>
        <v/>
      </c>
    </row>
    <row r="418" spans="1:10" ht="21" hidden="1" customHeight="1" x14ac:dyDescent="0.2">
      <c r="A418" s="33"/>
      <c r="B418" s="34"/>
      <c r="C418" s="34"/>
      <c r="D418" s="34"/>
      <c r="E418" s="35"/>
      <c r="F418" s="36"/>
      <c r="G418" s="36"/>
      <c r="H418" s="37" t="str">
        <f>IFERROR(VLOOKUP(Tabela1[[#This Row],[Tag]],TAGS!$J$1:$K$11,2,0),"")</f>
        <v/>
      </c>
      <c r="I418" s="38" t="str">
        <f t="shared" si="6"/>
        <v/>
      </c>
      <c r="J418" s="39" t="str">
        <f>IF(Tabela1[[#This Row],[Caixa]]="Receita","Recebido",IF(F418="","",IF(G418="","",IF(G418&lt;F418,"Pago atrasado",IF(Tabela1[[#This Row],[Data do Pagamento / Compra]]&gt;Tabela1[[#This Row],[Data de Compra]],"Pago","Pago")))))</f>
        <v/>
      </c>
    </row>
    <row r="419" spans="1:10" ht="21" hidden="1" customHeight="1" x14ac:dyDescent="0.2">
      <c r="A419" s="33"/>
      <c r="B419" s="34"/>
      <c r="C419" s="34"/>
      <c r="D419" s="34"/>
      <c r="E419" s="35"/>
      <c r="F419" s="36"/>
      <c r="G419" s="36"/>
      <c r="H419" s="37" t="str">
        <f>IFERROR(VLOOKUP(Tabela1[[#This Row],[Tag]],TAGS!$J$1:$K$11,2,0),"")</f>
        <v/>
      </c>
      <c r="I419" s="38" t="str">
        <f t="shared" si="6"/>
        <v/>
      </c>
      <c r="J419" s="39" t="str">
        <f>IF(Tabela1[[#This Row],[Caixa]]="Receita","Recebido",IF(F419="","",IF(G419="","",IF(G419&lt;F419,"Pago atrasado",IF(Tabela1[[#This Row],[Data do Pagamento / Compra]]&gt;Tabela1[[#This Row],[Data de Compra]],"Pago","Pago")))))</f>
        <v/>
      </c>
    </row>
    <row r="420" spans="1:10" ht="21" hidden="1" customHeight="1" x14ac:dyDescent="0.2">
      <c r="A420" s="33"/>
      <c r="B420" s="34"/>
      <c r="C420" s="34"/>
      <c r="D420" s="34"/>
      <c r="E420" s="35"/>
      <c r="F420" s="36"/>
      <c r="G420" s="36"/>
      <c r="H420" s="37" t="str">
        <f>IFERROR(VLOOKUP(Tabela1[[#This Row],[Tag]],TAGS!$J$1:$K$11,2,0),"")</f>
        <v/>
      </c>
      <c r="I420" s="38" t="str">
        <f t="shared" si="6"/>
        <v/>
      </c>
      <c r="J420" s="39" t="str">
        <f>IF(Tabela1[[#This Row],[Caixa]]="Receita","Recebido",IF(F420="","",IF(G420="","",IF(G420&lt;F420,"Pago atrasado",IF(Tabela1[[#This Row],[Data do Pagamento / Compra]]&gt;Tabela1[[#This Row],[Data de Compra]],"Pago","Pago")))))</f>
        <v/>
      </c>
    </row>
    <row r="421" spans="1:10" ht="21" hidden="1" customHeight="1" x14ac:dyDescent="0.2">
      <c r="A421" s="33"/>
      <c r="B421" s="34"/>
      <c r="C421" s="34"/>
      <c r="D421" s="34"/>
      <c r="E421" s="35"/>
      <c r="F421" s="36"/>
      <c r="G421" s="36"/>
      <c r="H421" s="37" t="str">
        <f>IFERROR(VLOOKUP(Tabela1[[#This Row],[Tag]],TAGS!$J$1:$K$11,2,0),"")</f>
        <v/>
      </c>
      <c r="I421" s="38" t="str">
        <f t="shared" si="6"/>
        <v/>
      </c>
      <c r="J421" s="39" t="str">
        <f>IF(Tabela1[[#This Row],[Caixa]]="Receita","Recebido",IF(F421="","",IF(G421="","",IF(G421&lt;F421,"Pago atrasado",IF(Tabela1[[#This Row],[Data do Pagamento / Compra]]&gt;Tabela1[[#This Row],[Data de Compra]],"Pago","Pago")))))</f>
        <v/>
      </c>
    </row>
    <row r="422" spans="1:10" ht="21" hidden="1" customHeight="1" x14ac:dyDescent="0.2">
      <c r="A422" s="33"/>
      <c r="B422" s="34"/>
      <c r="C422" s="34"/>
      <c r="D422" s="34"/>
      <c r="E422" s="35"/>
      <c r="F422" s="36"/>
      <c r="G422" s="36"/>
      <c r="H422" s="37" t="str">
        <f>IFERROR(VLOOKUP(Tabela1[[#This Row],[Tag]],TAGS!$J$1:$K$11,2,0),"")</f>
        <v/>
      </c>
      <c r="I422" s="38" t="str">
        <f t="shared" si="6"/>
        <v/>
      </c>
      <c r="J422" s="39" t="str">
        <f>IF(Tabela1[[#This Row],[Caixa]]="Receita","Recebido",IF(F422="","",IF(G422="","",IF(G422&lt;F422,"Pago atrasado",IF(Tabela1[[#This Row],[Data do Pagamento / Compra]]&gt;Tabela1[[#This Row],[Data de Compra]],"Pago","Pago")))))</f>
        <v/>
      </c>
    </row>
    <row r="423" spans="1:10" ht="21" hidden="1" customHeight="1" x14ac:dyDescent="0.2">
      <c r="A423" s="33"/>
      <c r="B423" s="34"/>
      <c r="C423" s="34"/>
      <c r="D423" s="34"/>
      <c r="E423" s="35"/>
      <c r="F423" s="36"/>
      <c r="G423" s="36"/>
      <c r="H423" s="37" t="str">
        <f>IFERROR(VLOOKUP(Tabela1[[#This Row],[Tag]],TAGS!$J$1:$K$11,2,0),"")</f>
        <v/>
      </c>
      <c r="I423" s="38" t="str">
        <f t="shared" si="6"/>
        <v/>
      </c>
      <c r="J423" s="39" t="str">
        <f>IF(Tabela1[[#This Row],[Caixa]]="Receita","Recebido",IF(F423="","",IF(G423="","",IF(G423&lt;F423,"Pago atrasado",IF(Tabela1[[#This Row],[Data do Pagamento / Compra]]&gt;Tabela1[[#This Row],[Data de Compra]],"Pago","Pago")))))</f>
        <v/>
      </c>
    </row>
    <row r="424" spans="1:10" ht="21" hidden="1" customHeight="1" x14ac:dyDescent="0.2">
      <c r="A424" s="33"/>
      <c r="B424" s="34"/>
      <c r="C424" s="34"/>
      <c r="D424" s="34"/>
      <c r="E424" s="35"/>
      <c r="F424" s="36"/>
      <c r="G424" s="36"/>
      <c r="H424" s="37" t="str">
        <f>IFERROR(VLOOKUP(Tabela1[[#This Row],[Tag]],TAGS!$J$1:$K$11,2,0),"")</f>
        <v/>
      </c>
      <c r="I424" s="38" t="str">
        <f t="shared" si="6"/>
        <v/>
      </c>
      <c r="J424" s="39" t="str">
        <f>IF(Tabela1[[#This Row],[Caixa]]="Receita","Recebido",IF(F424="","",IF(G424="","",IF(G424&lt;F424,"Pago atrasado",IF(Tabela1[[#This Row],[Data do Pagamento / Compra]]&gt;Tabela1[[#This Row],[Data de Compra]],"Pago","Pago")))))</f>
        <v/>
      </c>
    </row>
    <row r="425" spans="1:10" ht="21" hidden="1" customHeight="1" x14ac:dyDescent="0.2">
      <c r="A425" s="33"/>
      <c r="B425" s="34"/>
      <c r="C425" s="34"/>
      <c r="D425" s="34"/>
      <c r="E425" s="35"/>
      <c r="F425" s="36"/>
      <c r="G425" s="36"/>
      <c r="H425" s="37" t="str">
        <f>IFERROR(VLOOKUP(Tabela1[[#This Row],[Tag]],TAGS!$J$1:$K$11,2,0),"")</f>
        <v/>
      </c>
      <c r="I425" s="38" t="str">
        <f t="shared" si="6"/>
        <v/>
      </c>
      <c r="J425" s="39" t="str">
        <f>IF(Tabela1[[#This Row],[Caixa]]="Receita","Recebido",IF(F425="","",IF(G425="","",IF(G425&lt;F425,"Pago atrasado",IF(Tabela1[[#This Row],[Data do Pagamento / Compra]]&gt;Tabela1[[#This Row],[Data de Compra]],"Pago","Pago")))))</f>
        <v/>
      </c>
    </row>
    <row r="426" spans="1:10" ht="21" hidden="1" customHeight="1" x14ac:dyDescent="0.2">
      <c r="A426" s="33"/>
      <c r="B426" s="34"/>
      <c r="C426" s="34"/>
      <c r="D426" s="34"/>
      <c r="E426" s="35"/>
      <c r="F426" s="36"/>
      <c r="G426" s="36"/>
      <c r="H426" s="37" t="str">
        <f>IFERROR(VLOOKUP(Tabela1[[#This Row],[Tag]],TAGS!$J$1:$K$11,2,0),"")</f>
        <v/>
      </c>
      <c r="I426" s="38" t="str">
        <f t="shared" si="6"/>
        <v/>
      </c>
      <c r="J426" s="39" t="str">
        <f>IF(Tabela1[[#This Row],[Caixa]]="Receita","Recebido",IF(F426="","",IF(G426="","",IF(G426&lt;F426,"Pago atrasado",IF(Tabela1[[#This Row],[Data do Pagamento / Compra]]&gt;Tabela1[[#This Row],[Data de Compra]],"Pago","Pago")))))</f>
        <v/>
      </c>
    </row>
    <row r="427" spans="1:10" ht="21" hidden="1" customHeight="1" x14ac:dyDescent="0.2">
      <c r="A427" s="33"/>
      <c r="B427" s="34"/>
      <c r="C427" s="34"/>
      <c r="D427" s="34"/>
      <c r="E427" s="35"/>
      <c r="F427" s="36"/>
      <c r="G427" s="36"/>
      <c r="H427" s="37" t="str">
        <f>IFERROR(VLOOKUP(Tabela1[[#This Row],[Tag]],TAGS!$J$1:$K$11,2,0),"")</f>
        <v/>
      </c>
      <c r="I427" s="38" t="str">
        <f t="shared" si="6"/>
        <v/>
      </c>
      <c r="J427" s="39" t="str">
        <f>IF(Tabela1[[#This Row],[Caixa]]="Receita","Recebido",IF(F427="","",IF(G427="","",IF(G427&lt;F427,"Pago atrasado",IF(Tabela1[[#This Row],[Data do Pagamento / Compra]]&gt;Tabela1[[#This Row],[Data de Compra]],"Pago","Pago")))))</f>
        <v/>
      </c>
    </row>
    <row r="428" spans="1:10" ht="21" hidden="1" customHeight="1" x14ac:dyDescent="0.2">
      <c r="A428" s="33"/>
      <c r="B428" s="34"/>
      <c r="C428" s="34"/>
      <c r="D428" s="34"/>
      <c r="E428" s="35"/>
      <c r="F428" s="36"/>
      <c r="G428" s="36"/>
      <c r="H428" s="37" t="str">
        <f>IFERROR(VLOOKUP(Tabela1[[#This Row],[Tag]],TAGS!$J$1:$K$11,2,0),"")</f>
        <v/>
      </c>
      <c r="I428" s="38" t="str">
        <f t="shared" si="6"/>
        <v/>
      </c>
      <c r="J428" s="39" t="str">
        <f>IF(Tabela1[[#This Row],[Caixa]]="Receita","Recebido",IF(F428="","",IF(G428="","",IF(G428&lt;F428,"Pago atrasado",IF(Tabela1[[#This Row],[Data do Pagamento / Compra]]&gt;Tabela1[[#This Row],[Data de Compra]],"Pago","Pago")))))</f>
        <v/>
      </c>
    </row>
    <row r="429" spans="1:10" ht="21" hidden="1" customHeight="1" x14ac:dyDescent="0.2">
      <c r="A429" s="33"/>
      <c r="B429" s="34"/>
      <c r="C429" s="34"/>
      <c r="D429" s="34"/>
      <c r="E429" s="35"/>
      <c r="F429" s="36"/>
      <c r="G429" s="36"/>
      <c r="H429" s="37" t="str">
        <f>IFERROR(VLOOKUP(Tabela1[[#This Row],[Tag]],TAGS!$J$1:$K$11,2,0),"")</f>
        <v/>
      </c>
      <c r="I429" s="38" t="str">
        <f t="shared" si="6"/>
        <v/>
      </c>
      <c r="J429" s="39" t="str">
        <f>IF(Tabela1[[#This Row],[Caixa]]="Receita","Recebido",IF(F429="","",IF(G429="","",IF(G429&lt;F429,"Pago atrasado",IF(Tabela1[[#This Row],[Data do Pagamento / Compra]]&gt;Tabela1[[#This Row],[Data de Compra]],"Pago","Pago")))))</f>
        <v/>
      </c>
    </row>
    <row r="430" spans="1:10" ht="21" hidden="1" customHeight="1" x14ac:dyDescent="0.2">
      <c r="A430" s="33"/>
      <c r="B430" s="34"/>
      <c r="C430" s="34"/>
      <c r="D430" s="34"/>
      <c r="E430" s="35"/>
      <c r="F430" s="36"/>
      <c r="G430" s="36"/>
      <c r="H430" s="37" t="str">
        <f>IFERROR(VLOOKUP(Tabela1[[#This Row],[Tag]],TAGS!$J$1:$K$11,2,0),"")</f>
        <v/>
      </c>
      <c r="I430" s="38" t="str">
        <f t="shared" si="6"/>
        <v/>
      </c>
      <c r="J430" s="39" t="str">
        <f>IF(Tabela1[[#This Row],[Caixa]]="Receita","Recebido",IF(F430="","",IF(G430="","",IF(G430&lt;F430,"Pago atrasado",IF(Tabela1[[#This Row],[Data do Pagamento / Compra]]&gt;Tabela1[[#This Row],[Data de Compra]],"Pago","Pago")))))</f>
        <v/>
      </c>
    </row>
    <row r="431" spans="1:10" ht="21" hidden="1" customHeight="1" x14ac:dyDescent="0.2">
      <c r="A431" s="33"/>
      <c r="B431" s="34"/>
      <c r="C431" s="34"/>
      <c r="D431" s="34"/>
      <c r="E431" s="35"/>
      <c r="F431" s="36"/>
      <c r="G431" s="36"/>
      <c r="H431" s="37" t="str">
        <f>IFERROR(VLOOKUP(Tabela1[[#This Row],[Tag]],TAGS!$J$1:$K$11,2,0),"")</f>
        <v/>
      </c>
      <c r="I431" s="38" t="str">
        <f t="shared" si="6"/>
        <v/>
      </c>
      <c r="J431" s="39" t="str">
        <f>IF(Tabela1[[#This Row],[Caixa]]="Receita","Recebido",IF(F431="","",IF(G431="","",IF(G431&lt;F431,"Pago atrasado",IF(Tabela1[[#This Row],[Data do Pagamento / Compra]]&gt;Tabela1[[#This Row],[Data de Compra]],"Pago","Pago")))))</f>
        <v/>
      </c>
    </row>
    <row r="432" spans="1:10" ht="21" hidden="1" customHeight="1" x14ac:dyDescent="0.2">
      <c r="A432" s="33"/>
      <c r="B432" s="34"/>
      <c r="C432" s="34"/>
      <c r="D432" s="34"/>
      <c r="E432" s="35"/>
      <c r="F432" s="36"/>
      <c r="G432" s="36"/>
      <c r="H432" s="37" t="str">
        <f>IFERROR(VLOOKUP(Tabela1[[#This Row],[Tag]],TAGS!$J$1:$K$11,2,0),"")</f>
        <v/>
      </c>
      <c r="I432" s="38" t="str">
        <f t="shared" si="6"/>
        <v/>
      </c>
      <c r="J432" s="39" t="str">
        <f>IF(Tabela1[[#This Row],[Caixa]]="Receita","Recebido",IF(F432="","",IF(G432="","",IF(G432&lt;F432,"Pago atrasado",IF(Tabela1[[#This Row],[Data do Pagamento / Compra]]&gt;Tabela1[[#This Row],[Data de Compra]],"Pago","Pago")))))</f>
        <v/>
      </c>
    </row>
    <row r="433" spans="1:10" ht="21" hidden="1" customHeight="1" x14ac:dyDescent="0.2">
      <c r="A433" s="33"/>
      <c r="B433" s="34"/>
      <c r="C433" s="34"/>
      <c r="D433" s="34"/>
      <c r="E433" s="35"/>
      <c r="F433" s="36"/>
      <c r="G433" s="36"/>
      <c r="H433" s="37" t="str">
        <f>IFERROR(VLOOKUP(Tabela1[[#This Row],[Tag]],TAGS!$J$1:$K$11,2,0),"")</f>
        <v/>
      </c>
      <c r="I433" s="38" t="str">
        <f t="shared" si="6"/>
        <v/>
      </c>
      <c r="J433" s="39" t="str">
        <f>IF(Tabela1[[#This Row],[Caixa]]="Receita","Recebido",IF(F433="","",IF(G433="","",IF(G433&lt;F433,"Pago atrasado",IF(Tabela1[[#This Row],[Data do Pagamento / Compra]]&gt;Tabela1[[#This Row],[Data de Compra]],"Pago","Pago")))))</f>
        <v/>
      </c>
    </row>
    <row r="434" spans="1:10" ht="21" hidden="1" customHeight="1" x14ac:dyDescent="0.2">
      <c r="A434" s="33"/>
      <c r="B434" s="34"/>
      <c r="C434" s="34"/>
      <c r="D434" s="34"/>
      <c r="E434" s="35"/>
      <c r="F434" s="36"/>
      <c r="G434" s="36"/>
      <c r="H434" s="37" t="str">
        <f>IFERROR(VLOOKUP(Tabela1[[#This Row],[Tag]],TAGS!$J$1:$K$11,2,0),"")</f>
        <v/>
      </c>
      <c r="I434" s="38" t="str">
        <f t="shared" si="6"/>
        <v/>
      </c>
      <c r="J434" s="39" t="str">
        <f>IF(Tabela1[[#This Row],[Caixa]]="Receita","Recebido",IF(F434="","",IF(G434="","",IF(G434&lt;F434,"Pago atrasado",IF(Tabela1[[#This Row],[Data do Pagamento / Compra]]&gt;Tabela1[[#This Row],[Data de Compra]],"Pago","Pago")))))</f>
        <v/>
      </c>
    </row>
    <row r="435" spans="1:10" ht="21" hidden="1" customHeight="1" x14ac:dyDescent="0.2">
      <c r="A435" s="33"/>
      <c r="B435" s="34"/>
      <c r="C435" s="34"/>
      <c r="D435" s="34"/>
      <c r="E435" s="35"/>
      <c r="F435" s="36"/>
      <c r="G435" s="36"/>
      <c r="H435" s="37" t="str">
        <f>IFERROR(VLOOKUP(Tabela1[[#This Row],[Tag]],TAGS!$J$1:$K$11,2,0),"")</f>
        <v/>
      </c>
      <c r="I435" s="38" t="str">
        <f t="shared" si="6"/>
        <v/>
      </c>
      <c r="J435" s="39" t="str">
        <f>IF(Tabela1[[#This Row],[Caixa]]="Receita","Recebido",IF(F435="","",IF(G435="","",IF(G435&lt;F435,"Pago atrasado",IF(Tabela1[[#This Row],[Data do Pagamento / Compra]]&gt;Tabela1[[#This Row],[Data de Compra]],"Pago","Pago")))))</f>
        <v/>
      </c>
    </row>
    <row r="436" spans="1:10" ht="21" hidden="1" customHeight="1" x14ac:dyDescent="0.2">
      <c r="A436" s="33"/>
      <c r="B436" s="34"/>
      <c r="C436" s="34"/>
      <c r="D436" s="34"/>
      <c r="E436" s="35"/>
      <c r="F436" s="36"/>
      <c r="G436" s="36"/>
      <c r="H436" s="37" t="str">
        <f>IFERROR(VLOOKUP(Tabela1[[#This Row],[Tag]],TAGS!$J$1:$K$11,2,0),"")</f>
        <v/>
      </c>
      <c r="I436" s="38" t="str">
        <f t="shared" si="6"/>
        <v/>
      </c>
      <c r="J436" s="39" t="str">
        <f>IF(Tabela1[[#This Row],[Caixa]]="Receita","Recebido",IF(F436="","",IF(G436="","",IF(G436&lt;F436,"Pago atrasado",IF(Tabela1[[#This Row],[Data do Pagamento / Compra]]&gt;Tabela1[[#This Row],[Data de Compra]],"Pago","Pago")))))</f>
        <v/>
      </c>
    </row>
    <row r="437" spans="1:10" ht="21" hidden="1" customHeight="1" x14ac:dyDescent="0.2">
      <c r="A437" s="33"/>
      <c r="B437" s="34"/>
      <c r="C437" s="34"/>
      <c r="D437" s="34"/>
      <c r="E437" s="35"/>
      <c r="F437" s="36"/>
      <c r="G437" s="36"/>
      <c r="H437" s="37" t="str">
        <f>IFERROR(VLOOKUP(Tabela1[[#This Row],[Tag]],TAGS!$J$1:$K$11,2,0),"")</f>
        <v/>
      </c>
      <c r="I437" s="38" t="str">
        <f t="shared" si="6"/>
        <v/>
      </c>
      <c r="J437" s="39" t="str">
        <f>IF(Tabela1[[#This Row],[Caixa]]="Receita","Recebido",IF(F437="","",IF(G437="","",IF(G437&lt;F437,"Pago atrasado",IF(Tabela1[[#This Row],[Data do Pagamento / Compra]]&gt;Tabela1[[#This Row],[Data de Compra]],"Pago","Pago")))))</f>
        <v/>
      </c>
    </row>
    <row r="438" spans="1:10" ht="21" hidden="1" customHeight="1" x14ac:dyDescent="0.2">
      <c r="A438" s="33"/>
      <c r="B438" s="34"/>
      <c r="C438" s="34"/>
      <c r="D438" s="34"/>
      <c r="E438" s="35"/>
      <c r="F438" s="36"/>
      <c r="G438" s="36"/>
      <c r="H438" s="37" t="str">
        <f>IFERROR(VLOOKUP(Tabela1[[#This Row],[Tag]],TAGS!$J$1:$K$11,2,0),"")</f>
        <v/>
      </c>
      <c r="I438" s="38" t="str">
        <f t="shared" si="6"/>
        <v/>
      </c>
      <c r="J438" s="39" t="str">
        <f>IF(Tabela1[[#This Row],[Caixa]]="Receita","Recebido",IF(F438="","",IF(G438="","",IF(G438&lt;F438,"Pago atrasado",IF(Tabela1[[#This Row],[Data do Pagamento / Compra]]&gt;Tabela1[[#This Row],[Data de Compra]],"Pago","Pago")))))</f>
        <v/>
      </c>
    </row>
    <row r="439" spans="1:10" ht="21" hidden="1" customHeight="1" x14ac:dyDescent="0.2">
      <c r="A439" s="33"/>
      <c r="B439" s="34"/>
      <c r="C439" s="34"/>
      <c r="D439" s="34"/>
      <c r="E439" s="35"/>
      <c r="F439" s="36"/>
      <c r="G439" s="36"/>
      <c r="H439" s="37" t="str">
        <f>IFERROR(VLOOKUP(Tabela1[[#This Row],[Tag]],TAGS!$J$1:$K$11,2,0),"")</f>
        <v/>
      </c>
      <c r="I439" s="38" t="str">
        <f t="shared" si="6"/>
        <v/>
      </c>
      <c r="J439" s="39" t="str">
        <f>IF(Tabela1[[#This Row],[Caixa]]="Receita","Recebido",IF(F439="","",IF(G439="","",IF(G439&lt;F439,"Pago atrasado",IF(Tabela1[[#This Row],[Data do Pagamento / Compra]]&gt;Tabela1[[#This Row],[Data de Compra]],"Pago","Pago")))))</f>
        <v/>
      </c>
    </row>
    <row r="440" spans="1:10" ht="21" hidden="1" customHeight="1" x14ac:dyDescent="0.2">
      <c r="A440" s="33"/>
      <c r="B440" s="34"/>
      <c r="C440" s="34"/>
      <c r="D440" s="34"/>
      <c r="E440" s="35"/>
      <c r="F440" s="36"/>
      <c r="G440" s="36"/>
      <c r="H440" s="37" t="str">
        <f>IFERROR(VLOOKUP(Tabela1[[#This Row],[Tag]],TAGS!$J$1:$K$11,2,0),"")</f>
        <v/>
      </c>
      <c r="I440" s="38" t="str">
        <f t="shared" si="6"/>
        <v/>
      </c>
      <c r="J440" s="39" t="str">
        <f>IF(Tabela1[[#This Row],[Caixa]]="Receita","Recebido",IF(F440="","",IF(G440="","",IF(G440&lt;F440,"Pago atrasado",IF(Tabela1[[#This Row],[Data do Pagamento / Compra]]&gt;Tabela1[[#This Row],[Data de Compra]],"Pago","Pago")))))</f>
        <v/>
      </c>
    </row>
    <row r="441" spans="1:10" ht="21" hidden="1" customHeight="1" x14ac:dyDescent="0.2">
      <c r="A441" s="33"/>
      <c r="B441" s="34"/>
      <c r="C441" s="34"/>
      <c r="D441" s="34"/>
      <c r="E441" s="35"/>
      <c r="F441" s="36"/>
      <c r="G441" s="36"/>
      <c r="H441" s="37" t="str">
        <f>IFERROR(VLOOKUP(Tabela1[[#This Row],[Tag]],TAGS!$J$1:$K$11,2,0),"")</f>
        <v/>
      </c>
      <c r="I441" s="38" t="str">
        <f t="shared" si="6"/>
        <v/>
      </c>
      <c r="J441" s="39" t="str">
        <f>IF(Tabela1[[#This Row],[Caixa]]="Receita","Recebido",IF(F441="","",IF(G441="","",IF(G441&lt;F441,"Pago atrasado",IF(Tabela1[[#This Row],[Data do Pagamento / Compra]]&gt;Tabela1[[#This Row],[Data de Compra]],"Pago","Pago")))))</f>
        <v/>
      </c>
    </row>
    <row r="442" spans="1:10" ht="21" hidden="1" customHeight="1" x14ac:dyDescent="0.2">
      <c r="A442" s="33"/>
      <c r="B442" s="34"/>
      <c r="C442" s="34"/>
      <c r="D442" s="34"/>
      <c r="E442" s="35"/>
      <c r="F442" s="36"/>
      <c r="G442" s="36"/>
      <c r="H442" s="37" t="str">
        <f>IFERROR(VLOOKUP(Tabela1[[#This Row],[Tag]],TAGS!$J$1:$K$11,2,0),"")</f>
        <v/>
      </c>
      <c r="I442" s="38" t="str">
        <f t="shared" si="6"/>
        <v/>
      </c>
      <c r="J442" s="39" t="str">
        <f>IF(Tabela1[[#This Row],[Caixa]]="Receita","Recebido",IF(F442="","",IF(G442="","",IF(G442&lt;F442,"Pago atrasado",IF(Tabela1[[#This Row],[Data do Pagamento / Compra]]&gt;Tabela1[[#This Row],[Data de Compra]],"Pago","Pago")))))</f>
        <v/>
      </c>
    </row>
    <row r="443" spans="1:10" ht="21" hidden="1" customHeight="1" x14ac:dyDescent="0.2">
      <c r="A443" s="33"/>
      <c r="B443" s="34"/>
      <c r="C443" s="34"/>
      <c r="D443" s="34"/>
      <c r="E443" s="35"/>
      <c r="F443" s="36"/>
      <c r="G443" s="36"/>
      <c r="H443" s="37" t="str">
        <f>IFERROR(VLOOKUP(Tabela1[[#This Row],[Tag]],TAGS!$J$1:$K$11,2,0),"")</f>
        <v/>
      </c>
      <c r="I443" s="38" t="str">
        <f t="shared" si="6"/>
        <v/>
      </c>
      <c r="J443" s="39" t="str">
        <f>IF(Tabela1[[#This Row],[Caixa]]="Receita","Recebido",IF(F443="","",IF(G443="","",IF(G443&lt;F443,"Pago atrasado",IF(Tabela1[[#This Row],[Data do Pagamento / Compra]]&gt;Tabela1[[#This Row],[Data de Compra]],"Pago","Pago")))))</f>
        <v/>
      </c>
    </row>
    <row r="444" spans="1:10" ht="21" hidden="1" customHeight="1" x14ac:dyDescent="0.2">
      <c r="A444" s="33"/>
      <c r="B444" s="34"/>
      <c r="C444" s="34"/>
      <c r="D444" s="34"/>
      <c r="E444" s="35"/>
      <c r="F444" s="36"/>
      <c r="G444" s="36"/>
      <c r="H444" s="37" t="str">
        <f>IFERROR(VLOOKUP(Tabela1[[#This Row],[Tag]],TAGS!$J$1:$K$11,2,0),"")</f>
        <v/>
      </c>
      <c r="I444" s="38" t="str">
        <f t="shared" si="6"/>
        <v/>
      </c>
      <c r="J444" s="39" t="str">
        <f>IF(Tabela1[[#This Row],[Caixa]]="Receita","Recebido",IF(F444="","",IF(G444="","",IF(G444&lt;F444,"Pago atrasado",IF(Tabela1[[#This Row],[Data do Pagamento / Compra]]&gt;Tabela1[[#This Row],[Data de Compra]],"Pago","Pago")))))</f>
        <v/>
      </c>
    </row>
    <row r="445" spans="1:10" ht="21" hidden="1" customHeight="1" x14ac:dyDescent="0.2">
      <c r="A445" s="33"/>
      <c r="B445" s="34"/>
      <c r="C445" s="34"/>
      <c r="D445" s="34"/>
      <c r="E445" s="35"/>
      <c r="F445" s="36"/>
      <c r="G445" s="36"/>
      <c r="H445" s="37" t="str">
        <f>IFERROR(VLOOKUP(Tabela1[[#This Row],[Tag]],TAGS!$J$1:$K$11,2,0),"")</f>
        <v/>
      </c>
      <c r="I445" s="38" t="str">
        <f t="shared" si="6"/>
        <v/>
      </c>
      <c r="J445" s="39" t="str">
        <f>IF(Tabela1[[#This Row],[Caixa]]="Receita","Recebido",IF(F445="","",IF(G445="","",IF(G445&lt;F445,"Pago atrasado",IF(Tabela1[[#This Row],[Data do Pagamento / Compra]]&gt;Tabela1[[#This Row],[Data de Compra]],"Pago","Pago")))))</f>
        <v/>
      </c>
    </row>
    <row r="446" spans="1:10" ht="21" hidden="1" customHeight="1" x14ac:dyDescent="0.2">
      <c r="A446" s="33"/>
      <c r="B446" s="34"/>
      <c r="C446" s="34"/>
      <c r="D446" s="34"/>
      <c r="E446" s="35"/>
      <c r="F446" s="36"/>
      <c r="G446" s="36"/>
      <c r="H446" s="37" t="str">
        <f>IFERROR(VLOOKUP(Tabela1[[#This Row],[Tag]],TAGS!$J$1:$K$11,2,0),"")</f>
        <v/>
      </c>
      <c r="I446" s="38" t="str">
        <f t="shared" si="6"/>
        <v/>
      </c>
      <c r="J446" s="39" t="str">
        <f>IF(Tabela1[[#This Row],[Caixa]]="Receita","Recebido",IF(F446="","",IF(G446="","",IF(G446&lt;F446,"Pago atrasado",IF(Tabela1[[#This Row],[Data do Pagamento / Compra]]&gt;Tabela1[[#This Row],[Data de Compra]],"Pago","Pago")))))</f>
        <v/>
      </c>
    </row>
    <row r="447" spans="1:10" ht="21" hidden="1" customHeight="1" x14ac:dyDescent="0.2">
      <c r="A447" s="33"/>
      <c r="B447" s="34"/>
      <c r="C447" s="34"/>
      <c r="D447" s="34"/>
      <c r="E447" s="35"/>
      <c r="F447" s="36"/>
      <c r="G447" s="36"/>
      <c r="H447" s="37" t="str">
        <f>IFERROR(VLOOKUP(Tabela1[[#This Row],[Tag]],TAGS!$J$1:$K$11,2,0),"")</f>
        <v/>
      </c>
      <c r="I447" s="38" t="str">
        <f t="shared" si="6"/>
        <v/>
      </c>
      <c r="J447" s="39" t="str">
        <f>IF(Tabela1[[#This Row],[Caixa]]="Receita","Recebido",IF(F447="","",IF(G447="","",IF(G447&lt;F447,"Pago atrasado",IF(Tabela1[[#This Row],[Data do Pagamento / Compra]]&gt;Tabela1[[#This Row],[Data de Compra]],"Pago","Pago")))))</f>
        <v/>
      </c>
    </row>
    <row r="448" spans="1:10" ht="21" hidden="1" customHeight="1" x14ac:dyDescent="0.2">
      <c r="A448" s="33"/>
      <c r="B448" s="34"/>
      <c r="C448" s="34"/>
      <c r="D448" s="34"/>
      <c r="E448" s="35"/>
      <c r="F448" s="36"/>
      <c r="G448" s="36"/>
      <c r="H448" s="37" t="str">
        <f>IFERROR(VLOOKUP(Tabela1[[#This Row],[Tag]],TAGS!$J$1:$K$11,2,0),"")</f>
        <v/>
      </c>
      <c r="I448" s="38" t="str">
        <f t="shared" si="6"/>
        <v/>
      </c>
      <c r="J448" s="39" t="str">
        <f>IF(Tabela1[[#This Row],[Caixa]]="Receita","Recebido",IF(F448="","",IF(G448="","",IF(G448&lt;F448,"Pago atrasado",IF(Tabela1[[#This Row],[Data do Pagamento / Compra]]&gt;Tabela1[[#This Row],[Data de Compra]],"Pago","Pago")))))</f>
        <v/>
      </c>
    </row>
    <row r="449" spans="1:10" ht="21" hidden="1" customHeight="1" x14ac:dyDescent="0.2">
      <c r="A449" s="33"/>
      <c r="B449" s="34"/>
      <c r="C449" s="34"/>
      <c r="D449" s="34"/>
      <c r="E449" s="35"/>
      <c r="F449" s="36"/>
      <c r="G449" s="36"/>
      <c r="H449" s="37" t="str">
        <f>IFERROR(VLOOKUP(Tabela1[[#This Row],[Tag]],TAGS!$J$1:$K$11,2,0),"")</f>
        <v/>
      </c>
      <c r="I449" s="38" t="str">
        <f t="shared" si="6"/>
        <v/>
      </c>
      <c r="J449" s="39" t="str">
        <f>IF(Tabela1[[#This Row],[Caixa]]="Receita","Recebido",IF(F449="","",IF(G449="","",IF(G449&lt;F449,"Pago atrasado",IF(Tabela1[[#This Row],[Data do Pagamento / Compra]]&gt;Tabela1[[#This Row],[Data de Compra]],"Pago","Pago")))))</f>
        <v/>
      </c>
    </row>
    <row r="450" spans="1:10" ht="21" hidden="1" customHeight="1" x14ac:dyDescent="0.2">
      <c r="A450" s="33"/>
      <c r="B450" s="34"/>
      <c r="C450" s="34"/>
      <c r="D450" s="34"/>
      <c r="E450" s="35"/>
      <c r="F450" s="36"/>
      <c r="G450" s="36"/>
      <c r="H450" s="37" t="str">
        <f>IFERROR(VLOOKUP(Tabela1[[#This Row],[Tag]],TAGS!$J$1:$K$11,2,0),"")</f>
        <v/>
      </c>
      <c r="I450" s="38" t="str">
        <f t="shared" si="6"/>
        <v/>
      </c>
      <c r="J450" s="39" t="str">
        <f>IF(Tabela1[[#This Row],[Caixa]]="Receita","Recebido",IF(F450="","",IF(G450="","",IF(G450&lt;F450,"Pago atrasado",IF(Tabela1[[#This Row],[Data do Pagamento / Compra]]&gt;Tabela1[[#This Row],[Data de Compra]],"Pago","Pago")))))</f>
        <v/>
      </c>
    </row>
    <row r="451" spans="1:10" ht="21" hidden="1" customHeight="1" x14ac:dyDescent="0.2">
      <c r="A451" s="33"/>
      <c r="B451" s="34"/>
      <c r="C451" s="34"/>
      <c r="D451" s="34"/>
      <c r="E451" s="35"/>
      <c r="F451" s="36"/>
      <c r="G451" s="36"/>
      <c r="H451" s="37" t="str">
        <f>IFERROR(VLOOKUP(Tabela1[[#This Row],[Tag]],TAGS!$J$1:$K$11,2,0),"")</f>
        <v/>
      </c>
      <c r="I451" s="38" t="str">
        <f t="shared" ref="I451:I514" si="7">IF(G451="","",TEXT(G451,"mmmm"))</f>
        <v/>
      </c>
      <c r="J451" s="39" t="str">
        <f>IF(Tabela1[[#This Row],[Caixa]]="Receita","Recebido",IF(F451="","",IF(G451="","",IF(G451&lt;F451,"Pago atrasado",IF(Tabela1[[#This Row],[Data do Pagamento / Compra]]&gt;Tabela1[[#This Row],[Data de Compra]],"Pago","Pago")))))</f>
        <v/>
      </c>
    </row>
    <row r="452" spans="1:10" ht="21" hidden="1" customHeight="1" x14ac:dyDescent="0.2">
      <c r="A452" s="33"/>
      <c r="B452" s="34"/>
      <c r="C452" s="34"/>
      <c r="D452" s="34"/>
      <c r="E452" s="35"/>
      <c r="F452" s="36"/>
      <c r="G452" s="36"/>
      <c r="H452" s="37" t="str">
        <f>IFERROR(VLOOKUP(Tabela1[[#This Row],[Tag]],TAGS!$J$1:$K$11,2,0),"")</f>
        <v/>
      </c>
      <c r="I452" s="38" t="str">
        <f t="shared" si="7"/>
        <v/>
      </c>
      <c r="J452" s="39" t="str">
        <f>IF(Tabela1[[#This Row],[Caixa]]="Receita","Recebido",IF(F452="","",IF(G452="","",IF(G452&lt;F452,"Pago atrasado",IF(Tabela1[[#This Row],[Data do Pagamento / Compra]]&gt;Tabela1[[#This Row],[Data de Compra]],"Pago","Pago")))))</f>
        <v/>
      </c>
    </row>
    <row r="453" spans="1:10" ht="21" hidden="1" customHeight="1" x14ac:dyDescent="0.2">
      <c r="A453" s="33"/>
      <c r="B453" s="34"/>
      <c r="C453" s="34"/>
      <c r="D453" s="34"/>
      <c r="E453" s="35"/>
      <c r="F453" s="36"/>
      <c r="G453" s="36"/>
      <c r="H453" s="37" t="str">
        <f>IFERROR(VLOOKUP(Tabela1[[#This Row],[Tag]],TAGS!$J$1:$K$11,2,0),"")</f>
        <v/>
      </c>
      <c r="I453" s="38" t="str">
        <f t="shared" si="7"/>
        <v/>
      </c>
      <c r="J453" s="39" t="str">
        <f>IF(Tabela1[[#This Row],[Caixa]]="Receita","Recebido",IF(F453="","",IF(G453="","",IF(G453&lt;F453,"Pago atrasado",IF(Tabela1[[#This Row],[Data do Pagamento / Compra]]&gt;Tabela1[[#This Row],[Data de Compra]],"Pago","Pago")))))</f>
        <v/>
      </c>
    </row>
    <row r="454" spans="1:10" ht="21" hidden="1" customHeight="1" x14ac:dyDescent="0.2">
      <c r="A454" s="33"/>
      <c r="B454" s="34"/>
      <c r="C454" s="34"/>
      <c r="D454" s="34"/>
      <c r="E454" s="35"/>
      <c r="F454" s="36"/>
      <c r="G454" s="36"/>
      <c r="H454" s="37" t="str">
        <f>IFERROR(VLOOKUP(Tabela1[[#This Row],[Tag]],TAGS!$J$1:$K$11,2,0),"")</f>
        <v/>
      </c>
      <c r="I454" s="38" t="str">
        <f t="shared" si="7"/>
        <v/>
      </c>
      <c r="J454" s="39" t="str">
        <f>IF(Tabela1[[#This Row],[Caixa]]="Receita","Recebido",IF(F454="","",IF(G454="","",IF(G454&lt;F454,"Pago atrasado",IF(Tabela1[[#This Row],[Data do Pagamento / Compra]]&gt;Tabela1[[#This Row],[Data de Compra]],"Pago","Pago")))))</f>
        <v/>
      </c>
    </row>
    <row r="455" spans="1:10" ht="21" hidden="1" customHeight="1" x14ac:dyDescent="0.2">
      <c r="A455" s="33"/>
      <c r="B455" s="34"/>
      <c r="C455" s="34"/>
      <c r="D455" s="34"/>
      <c r="E455" s="35"/>
      <c r="F455" s="36"/>
      <c r="G455" s="36"/>
      <c r="H455" s="37" t="str">
        <f>IFERROR(VLOOKUP(Tabela1[[#This Row],[Tag]],TAGS!$J$1:$K$11,2,0),"")</f>
        <v/>
      </c>
      <c r="I455" s="38" t="str">
        <f t="shared" si="7"/>
        <v/>
      </c>
      <c r="J455" s="39" t="str">
        <f>IF(Tabela1[[#This Row],[Caixa]]="Receita","Recebido",IF(F455="","",IF(G455="","",IF(G455&lt;F455,"Pago atrasado",IF(Tabela1[[#This Row],[Data do Pagamento / Compra]]&gt;Tabela1[[#This Row],[Data de Compra]],"Pago","Pago")))))</f>
        <v/>
      </c>
    </row>
    <row r="456" spans="1:10" ht="21" hidden="1" customHeight="1" x14ac:dyDescent="0.2">
      <c r="A456" s="33"/>
      <c r="B456" s="34"/>
      <c r="C456" s="34"/>
      <c r="D456" s="34"/>
      <c r="E456" s="35"/>
      <c r="F456" s="36"/>
      <c r="G456" s="36"/>
      <c r="H456" s="37" t="str">
        <f>IFERROR(VLOOKUP(Tabela1[[#This Row],[Tag]],TAGS!$J$1:$K$11,2,0),"")</f>
        <v/>
      </c>
      <c r="I456" s="38" t="str">
        <f t="shared" si="7"/>
        <v/>
      </c>
      <c r="J456" s="39" t="str">
        <f>IF(Tabela1[[#This Row],[Caixa]]="Receita","Recebido",IF(F456="","",IF(G456="","",IF(G456&lt;F456,"Pago atrasado",IF(Tabela1[[#This Row],[Data do Pagamento / Compra]]&gt;Tabela1[[#This Row],[Data de Compra]],"Pago","Pago")))))</f>
        <v/>
      </c>
    </row>
    <row r="457" spans="1:10" ht="21" hidden="1" customHeight="1" x14ac:dyDescent="0.2">
      <c r="A457" s="33"/>
      <c r="B457" s="34"/>
      <c r="C457" s="34"/>
      <c r="D457" s="34"/>
      <c r="E457" s="35"/>
      <c r="F457" s="36"/>
      <c r="G457" s="36"/>
      <c r="H457" s="37" t="str">
        <f>IFERROR(VLOOKUP(Tabela1[[#This Row],[Tag]],TAGS!$J$1:$K$11,2,0),"")</f>
        <v/>
      </c>
      <c r="I457" s="38" t="str">
        <f t="shared" si="7"/>
        <v/>
      </c>
      <c r="J457" s="39" t="str">
        <f>IF(Tabela1[[#This Row],[Caixa]]="Receita","Recebido",IF(F457="","",IF(G457="","",IF(G457&lt;F457,"Pago atrasado",IF(Tabela1[[#This Row],[Data do Pagamento / Compra]]&gt;Tabela1[[#This Row],[Data de Compra]],"Pago","Pago")))))</f>
        <v/>
      </c>
    </row>
    <row r="458" spans="1:10" ht="21" hidden="1" customHeight="1" x14ac:dyDescent="0.2">
      <c r="A458" s="33"/>
      <c r="B458" s="34"/>
      <c r="C458" s="34"/>
      <c r="D458" s="34"/>
      <c r="E458" s="35"/>
      <c r="F458" s="36"/>
      <c r="G458" s="36"/>
      <c r="H458" s="37" t="str">
        <f>IFERROR(VLOOKUP(Tabela1[[#This Row],[Tag]],TAGS!$J$1:$K$11,2,0),"")</f>
        <v/>
      </c>
      <c r="I458" s="38" t="str">
        <f t="shared" si="7"/>
        <v/>
      </c>
      <c r="J458" s="39" t="str">
        <f>IF(Tabela1[[#This Row],[Caixa]]="Receita","Recebido",IF(F458="","",IF(G458="","",IF(G458&lt;F458,"Pago atrasado",IF(Tabela1[[#This Row],[Data do Pagamento / Compra]]&gt;Tabela1[[#This Row],[Data de Compra]],"Pago","Pago")))))</f>
        <v/>
      </c>
    </row>
    <row r="459" spans="1:10" ht="21" hidden="1" customHeight="1" x14ac:dyDescent="0.2">
      <c r="A459" s="33"/>
      <c r="B459" s="34"/>
      <c r="C459" s="34"/>
      <c r="D459" s="34"/>
      <c r="E459" s="35"/>
      <c r="F459" s="36"/>
      <c r="G459" s="36"/>
      <c r="H459" s="37" t="str">
        <f>IFERROR(VLOOKUP(Tabela1[[#This Row],[Tag]],TAGS!$J$1:$K$11,2,0),"")</f>
        <v/>
      </c>
      <c r="I459" s="38" t="str">
        <f t="shared" si="7"/>
        <v/>
      </c>
      <c r="J459" s="39" t="str">
        <f>IF(Tabela1[[#This Row],[Caixa]]="Receita","Recebido",IF(F459="","",IF(G459="","",IF(G459&lt;F459,"Pago atrasado",IF(Tabela1[[#This Row],[Data do Pagamento / Compra]]&gt;Tabela1[[#This Row],[Data de Compra]],"Pago","Pago")))))</f>
        <v/>
      </c>
    </row>
    <row r="460" spans="1:10" ht="21" hidden="1" customHeight="1" x14ac:dyDescent="0.2">
      <c r="A460" s="33"/>
      <c r="B460" s="34"/>
      <c r="C460" s="34"/>
      <c r="D460" s="34"/>
      <c r="E460" s="35"/>
      <c r="F460" s="36"/>
      <c r="G460" s="36"/>
      <c r="H460" s="37" t="str">
        <f>IFERROR(VLOOKUP(Tabela1[[#This Row],[Tag]],TAGS!$J$1:$K$11,2,0),"")</f>
        <v/>
      </c>
      <c r="I460" s="38" t="str">
        <f t="shared" si="7"/>
        <v/>
      </c>
      <c r="J460" s="39" t="str">
        <f>IF(Tabela1[[#This Row],[Caixa]]="Receita","Recebido",IF(F460="","",IF(G460="","",IF(G460&lt;F460,"Pago atrasado",IF(Tabela1[[#This Row],[Data do Pagamento / Compra]]&gt;Tabela1[[#This Row],[Data de Compra]],"Pago","Pago")))))</f>
        <v/>
      </c>
    </row>
    <row r="461" spans="1:10" ht="21" hidden="1" customHeight="1" x14ac:dyDescent="0.2">
      <c r="A461" s="33"/>
      <c r="B461" s="34"/>
      <c r="C461" s="34"/>
      <c r="D461" s="34"/>
      <c r="E461" s="35"/>
      <c r="F461" s="36"/>
      <c r="G461" s="36"/>
      <c r="H461" s="37" t="str">
        <f>IFERROR(VLOOKUP(Tabela1[[#This Row],[Tag]],TAGS!$J$1:$K$11,2,0),"")</f>
        <v/>
      </c>
      <c r="I461" s="38" t="str">
        <f t="shared" si="7"/>
        <v/>
      </c>
      <c r="J461" s="39" t="str">
        <f>IF(Tabela1[[#This Row],[Caixa]]="Receita","Recebido",IF(F461="","",IF(G461="","",IF(G461&lt;F461,"Pago atrasado",IF(Tabela1[[#This Row],[Data do Pagamento / Compra]]&gt;Tabela1[[#This Row],[Data de Compra]],"Pago","Pago")))))</f>
        <v/>
      </c>
    </row>
    <row r="462" spans="1:10" ht="21" hidden="1" customHeight="1" x14ac:dyDescent="0.2">
      <c r="A462" s="33"/>
      <c r="B462" s="34"/>
      <c r="C462" s="34"/>
      <c r="D462" s="34"/>
      <c r="E462" s="35"/>
      <c r="F462" s="36"/>
      <c r="G462" s="36"/>
      <c r="H462" s="37" t="str">
        <f>IFERROR(VLOOKUP(Tabela1[[#This Row],[Tag]],TAGS!$J$1:$K$11,2,0),"")</f>
        <v/>
      </c>
      <c r="I462" s="38" t="str">
        <f t="shared" si="7"/>
        <v/>
      </c>
      <c r="J462" s="39" t="str">
        <f>IF(Tabela1[[#This Row],[Caixa]]="Receita","Recebido",IF(F462="","",IF(G462="","",IF(G462&lt;F462,"Pago atrasado",IF(Tabela1[[#This Row],[Data do Pagamento / Compra]]&gt;Tabela1[[#This Row],[Data de Compra]],"Pago","Pago")))))</f>
        <v/>
      </c>
    </row>
    <row r="463" spans="1:10" ht="21" hidden="1" customHeight="1" x14ac:dyDescent="0.2">
      <c r="A463" s="33"/>
      <c r="B463" s="34"/>
      <c r="C463" s="34"/>
      <c r="D463" s="34"/>
      <c r="E463" s="35"/>
      <c r="F463" s="36"/>
      <c r="G463" s="36"/>
      <c r="H463" s="37" t="str">
        <f>IFERROR(VLOOKUP(Tabela1[[#This Row],[Tag]],TAGS!$J$1:$K$11,2,0),"")</f>
        <v/>
      </c>
      <c r="I463" s="38" t="str">
        <f t="shared" si="7"/>
        <v/>
      </c>
      <c r="J463" s="39" t="str">
        <f>IF(Tabela1[[#This Row],[Caixa]]="Receita","Recebido",IF(F463="","",IF(G463="","",IF(G463&lt;F463,"Pago atrasado",IF(Tabela1[[#This Row],[Data do Pagamento / Compra]]&gt;Tabela1[[#This Row],[Data de Compra]],"Pago","Pago")))))</f>
        <v/>
      </c>
    </row>
    <row r="464" spans="1:10" ht="21" hidden="1" customHeight="1" x14ac:dyDescent="0.2">
      <c r="A464" s="33"/>
      <c r="B464" s="34"/>
      <c r="C464" s="34"/>
      <c r="D464" s="34"/>
      <c r="E464" s="35"/>
      <c r="F464" s="36"/>
      <c r="G464" s="36"/>
      <c r="H464" s="37" t="str">
        <f>IFERROR(VLOOKUP(Tabela1[[#This Row],[Tag]],TAGS!$J$1:$K$11,2,0),"")</f>
        <v/>
      </c>
      <c r="I464" s="38" t="str">
        <f t="shared" si="7"/>
        <v/>
      </c>
      <c r="J464" s="39" t="str">
        <f>IF(Tabela1[[#This Row],[Caixa]]="Receita","Recebido",IF(F464="","",IF(G464="","",IF(G464&lt;F464,"Pago atrasado",IF(Tabela1[[#This Row],[Data do Pagamento / Compra]]&gt;Tabela1[[#This Row],[Data de Compra]],"Pago","Pago")))))</f>
        <v/>
      </c>
    </row>
    <row r="465" spans="1:10" ht="21" hidden="1" customHeight="1" x14ac:dyDescent="0.2">
      <c r="A465" s="33"/>
      <c r="B465" s="34"/>
      <c r="C465" s="34"/>
      <c r="D465" s="34"/>
      <c r="E465" s="35"/>
      <c r="F465" s="36"/>
      <c r="G465" s="36"/>
      <c r="H465" s="37" t="str">
        <f>IFERROR(VLOOKUP(Tabela1[[#This Row],[Tag]],TAGS!$J$1:$K$11,2,0),"")</f>
        <v/>
      </c>
      <c r="I465" s="38" t="str">
        <f t="shared" si="7"/>
        <v/>
      </c>
      <c r="J465" s="39" t="str">
        <f>IF(Tabela1[[#This Row],[Caixa]]="Receita","Recebido",IF(F465="","",IF(G465="","",IF(G465&lt;F465,"Pago atrasado",IF(Tabela1[[#This Row],[Data do Pagamento / Compra]]&gt;Tabela1[[#This Row],[Data de Compra]],"Pago","Pago")))))</f>
        <v/>
      </c>
    </row>
    <row r="466" spans="1:10" ht="21" hidden="1" customHeight="1" x14ac:dyDescent="0.2">
      <c r="A466" s="33"/>
      <c r="B466" s="34"/>
      <c r="C466" s="34"/>
      <c r="D466" s="34"/>
      <c r="E466" s="35"/>
      <c r="F466" s="36"/>
      <c r="G466" s="36"/>
      <c r="H466" s="37" t="str">
        <f>IFERROR(VLOOKUP(Tabela1[[#This Row],[Tag]],TAGS!$J$1:$K$11,2,0),"")</f>
        <v/>
      </c>
      <c r="I466" s="38" t="str">
        <f t="shared" si="7"/>
        <v/>
      </c>
      <c r="J466" s="39" t="str">
        <f>IF(Tabela1[[#This Row],[Caixa]]="Receita","Recebido",IF(F466="","",IF(G466="","",IF(G466&lt;F466,"Pago atrasado",IF(Tabela1[[#This Row],[Data do Pagamento / Compra]]&gt;Tabela1[[#This Row],[Data de Compra]],"Pago","Pago")))))</f>
        <v/>
      </c>
    </row>
    <row r="467" spans="1:10" ht="21" hidden="1" customHeight="1" x14ac:dyDescent="0.2">
      <c r="A467" s="33"/>
      <c r="B467" s="34"/>
      <c r="C467" s="34"/>
      <c r="D467" s="34"/>
      <c r="E467" s="35"/>
      <c r="F467" s="36"/>
      <c r="G467" s="36"/>
      <c r="H467" s="37" t="str">
        <f>IFERROR(VLOOKUP(Tabela1[[#This Row],[Tag]],TAGS!$J$1:$K$11,2,0),"")</f>
        <v/>
      </c>
      <c r="I467" s="38" t="str">
        <f t="shared" si="7"/>
        <v/>
      </c>
      <c r="J467" s="39" t="str">
        <f>IF(Tabela1[[#This Row],[Caixa]]="Receita","Recebido",IF(F467="","",IF(G467="","",IF(G467&lt;F467,"Pago atrasado",IF(Tabela1[[#This Row],[Data do Pagamento / Compra]]&gt;Tabela1[[#This Row],[Data de Compra]],"Pago","Pago")))))</f>
        <v/>
      </c>
    </row>
    <row r="468" spans="1:10" ht="21" hidden="1" customHeight="1" x14ac:dyDescent="0.2">
      <c r="A468" s="33"/>
      <c r="B468" s="34"/>
      <c r="C468" s="34"/>
      <c r="D468" s="34"/>
      <c r="E468" s="35"/>
      <c r="F468" s="36"/>
      <c r="G468" s="36"/>
      <c r="H468" s="37" t="str">
        <f>IFERROR(VLOOKUP(Tabela1[[#This Row],[Tag]],TAGS!$J$1:$K$11,2,0),"")</f>
        <v/>
      </c>
      <c r="I468" s="38" t="str">
        <f t="shared" si="7"/>
        <v/>
      </c>
      <c r="J468" s="39" t="str">
        <f>IF(Tabela1[[#This Row],[Caixa]]="Receita","Recebido",IF(F468="","",IF(G468="","",IF(G468&lt;F468,"Pago atrasado",IF(Tabela1[[#This Row],[Data do Pagamento / Compra]]&gt;Tabela1[[#This Row],[Data de Compra]],"Pago","Pago")))))</f>
        <v/>
      </c>
    </row>
    <row r="469" spans="1:10" ht="21" hidden="1" customHeight="1" x14ac:dyDescent="0.2">
      <c r="A469" s="33"/>
      <c r="B469" s="34"/>
      <c r="C469" s="34"/>
      <c r="D469" s="34"/>
      <c r="E469" s="35"/>
      <c r="F469" s="36"/>
      <c r="G469" s="36"/>
      <c r="H469" s="37" t="str">
        <f>IFERROR(VLOOKUP(Tabela1[[#This Row],[Tag]],TAGS!$J$1:$K$11,2,0),"")</f>
        <v/>
      </c>
      <c r="I469" s="38" t="str">
        <f t="shared" si="7"/>
        <v/>
      </c>
      <c r="J469" s="39" t="str">
        <f>IF(Tabela1[[#This Row],[Caixa]]="Receita","Recebido",IF(F469="","",IF(G469="","",IF(G469&lt;F469,"Pago atrasado",IF(Tabela1[[#This Row],[Data do Pagamento / Compra]]&gt;Tabela1[[#This Row],[Data de Compra]],"Pago","Pago")))))</f>
        <v/>
      </c>
    </row>
    <row r="470" spans="1:10" ht="21" hidden="1" customHeight="1" x14ac:dyDescent="0.2">
      <c r="A470" s="33"/>
      <c r="B470" s="34"/>
      <c r="C470" s="34"/>
      <c r="D470" s="34"/>
      <c r="E470" s="35"/>
      <c r="F470" s="36"/>
      <c r="G470" s="36"/>
      <c r="H470" s="37" t="str">
        <f>IFERROR(VLOOKUP(Tabela1[[#This Row],[Tag]],TAGS!$J$1:$K$11,2,0),"")</f>
        <v/>
      </c>
      <c r="I470" s="38" t="str">
        <f t="shared" si="7"/>
        <v/>
      </c>
      <c r="J470" s="39" t="str">
        <f>IF(Tabela1[[#This Row],[Caixa]]="Receita","Recebido",IF(F470="","",IF(G470="","",IF(G470&lt;F470,"Pago atrasado",IF(Tabela1[[#This Row],[Data do Pagamento / Compra]]&gt;Tabela1[[#This Row],[Data de Compra]],"Pago","Pago")))))</f>
        <v/>
      </c>
    </row>
    <row r="471" spans="1:10" ht="21" hidden="1" customHeight="1" x14ac:dyDescent="0.2">
      <c r="A471" s="33"/>
      <c r="B471" s="34"/>
      <c r="C471" s="34"/>
      <c r="D471" s="34"/>
      <c r="E471" s="35"/>
      <c r="F471" s="36"/>
      <c r="G471" s="36"/>
      <c r="H471" s="37" t="str">
        <f>IFERROR(VLOOKUP(Tabela1[[#This Row],[Tag]],TAGS!$J$1:$K$11,2,0),"")</f>
        <v/>
      </c>
      <c r="I471" s="38" t="str">
        <f t="shared" si="7"/>
        <v/>
      </c>
      <c r="J471" s="39" t="str">
        <f>IF(Tabela1[[#This Row],[Caixa]]="Receita","Recebido",IF(F471="","",IF(G471="","",IF(G471&lt;F471,"Pago atrasado",IF(Tabela1[[#This Row],[Data do Pagamento / Compra]]&gt;Tabela1[[#This Row],[Data de Compra]],"Pago","Pago")))))</f>
        <v/>
      </c>
    </row>
    <row r="472" spans="1:10" ht="21" hidden="1" customHeight="1" x14ac:dyDescent="0.2">
      <c r="A472" s="33"/>
      <c r="B472" s="34"/>
      <c r="C472" s="34"/>
      <c r="D472" s="34"/>
      <c r="E472" s="35"/>
      <c r="F472" s="36"/>
      <c r="G472" s="36"/>
      <c r="H472" s="37" t="str">
        <f>IFERROR(VLOOKUP(Tabela1[[#This Row],[Tag]],TAGS!$J$1:$K$11,2,0),"")</f>
        <v/>
      </c>
      <c r="I472" s="38" t="str">
        <f t="shared" si="7"/>
        <v/>
      </c>
      <c r="J472" s="39" t="str">
        <f>IF(Tabela1[[#This Row],[Caixa]]="Receita","Recebido",IF(F472="","",IF(G472="","",IF(G472&lt;F472,"Pago atrasado",IF(Tabela1[[#This Row],[Data do Pagamento / Compra]]&gt;Tabela1[[#This Row],[Data de Compra]],"Pago","Pago")))))</f>
        <v/>
      </c>
    </row>
    <row r="473" spans="1:10" ht="21" hidden="1" customHeight="1" x14ac:dyDescent="0.2">
      <c r="A473" s="33"/>
      <c r="B473" s="34"/>
      <c r="C473" s="34"/>
      <c r="D473" s="34"/>
      <c r="E473" s="35"/>
      <c r="F473" s="36"/>
      <c r="G473" s="36"/>
      <c r="H473" s="37" t="str">
        <f>IFERROR(VLOOKUP(Tabela1[[#This Row],[Tag]],TAGS!$J$1:$K$11,2,0),"")</f>
        <v/>
      </c>
      <c r="I473" s="38" t="str">
        <f t="shared" si="7"/>
        <v/>
      </c>
      <c r="J473" s="39" t="str">
        <f>IF(Tabela1[[#This Row],[Caixa]]="Receita","Recebido",IF(F473="","",IF(G473="","",IF(G473&lt;F473,"Pago atrasado",IF(Tabela1[[#This Row],[Data do Pagamento / Compra]]&gt;Tabela1[[#This Row],[Data de Compra]],"Pago","Pago")))))</f>
        <v/>
      </c>
    </row>
    <row r="474" spans="1:10" ht="21" hidden="1" customHeight="1" x14ac:dyDescent="0.2">
      <c r="A474" s="33"/>
      <c r="B474" s="34"/>
      <c r="C474" s="34"/>
      <c r="D474" s="34"/>
      <c r="E474" s="35"/>
      <c r="F474" s="36"/>
      <c r="G474" s="36"/>
      <c r="H474" s="37" t="str">
        <f>IFERROR(VLOOKUP(Tabela1[[#This Row],[Tag]],TAGS!$J$1:$K$11,2,0),"")</f>
        <v/>
      </c>
      <c r="I474" s="38" t="str">
        <f t="shared" si="7"/>
        <v/>
      </c>
      <c r="J474" s="39" t="str">
        <f>IF(Tabela1[[#This Row],[Caixa]]="Receita","Recebido",IF(F474="","",IF(G474="","",IF(G474&lt;F474,"Pago atrasado",IF(Tabela1[[#This Row],[Data do Pagamento / Compra]]&gt;Tabela1[[#This Row],[Data de Compra]],"Pago","Pago")))))</f>
        <v/>
      </c>
    </row>
    <row r="475" spans="1:10" ht="21" hidden="1" customHeight="1" x14ac:dyDescent="0.2">
      <c r="A475" s="33"/>
      <c r="B475" s="34"/>
      <c r="C475" s="34"/>
      <c r="D475" s="34"/>
      <c r="E475" s="35"/>
      <c r="F475" s="36"/>
      <c r="G475" s="36"/>
      <c r="H475" s="37" t="str">
        <f>IFERROR(VLOOKUP(Tabela1[[#This Row],[Tag]],TAGS!$J$1:$K$11,2,0),"")</f>
        <v/>
      </c>
      <c r="I475" s="38" t="str">
        <f t="shared" si="7"/>
        <v/>
      </c>
      <c r="J475" s="39" t="str">
        <f>IF(Tabela1[[#This Row],[Caixa]]="Receita","Recebido",IF(F475="","",IF(G475="","",IF(G475&lt;F475,"Pago atrasado",IF(Tabela1[[#This Row],[Data do Pagamento / Compra]]&gt;Tabela1[[#This Row],[Data de Compra]],"Pago","Pago")))))</f>
        <v/>
      </c>
    </row>
    <row r="476" spans="1:10" ht="21" hidden="1" customHeight="1" x14ac:dyDescent="0.2">
      <c r="A476" s="33"/>
      <c r="B476" s="34"/>
      <c r="C476" s="34"/>
      <c r="D476" s="34"/>
      <c r="E476" s="35"/>
      <c r="F476" s="36"/>
      <c r="G476" s="36"/>
      <c r="H476" s="37" t="str">
        <f>IFERROR(VLOOKUP(Tabela1[[#This Row],[Tag]],TAGS!$J$1:$K$11,2,0),"")</f>
        <v/>
      </c>
      <c r="I476" s="38" t="str">
        <f t="shared" si="7"/>
        <v/>
      </c>
      <c r="J476" s="39" t="str">
        <f>IF(Tabela1[[#This Row],[Caixa]]="Receita","Recebido",IF(F476="","",IF(G476="","",IF(G476&lt;F476,"Pago atrasado",IF(Tabela1[[#This Row],[Data do Pagamento / Compra]]&gt;Tabela1[[#This Row],[Data de Compra]],"Pago","Pago")))))</f>
        <v/>
      </c>
    </row>
    <row r="477" spans="1:10" ht="21" hidden="1" customHeight="1" x14ac:dyDescent="0.2">
      <c r="A477" s="33"/>
      <c r="B477" s="34"/>
      <c r="C477" s="34"/>
      <c r="D477" s="34"/>
      <c r="E477" s="35"/>
      <c r="F477" s="36"/>
      <c r="G477" s="36"/>
      <c r="H477" s="37" t="str">
        <f>IFERROR(VLOOKUP(Tabela1[[#This Row],[Tag]],TAGS!$J$1:$K$11,2,0),"")</f>
        <v/>
      </c>
      <c r="I477" s="38" t="str">
        <f t="shared" si="7"/>
        <v/>
      </c>
      <c r="J477" s="39" t="str">
        <f>IF(Tabela1[[#This Row],[Caixa]]="Receita","Recebido",IF(F477="","",IF(G477="","",IF(G477&lt;F477,"Pago atrasado",IF(Tabela1[[#This Row],[Data do Pagamento / Compra]]&gt;Tabela1[[#This Row],[Data de Compra]],"Pago","Pago")))))</f>
        <v/>
      </c>
    </row>
    <row r="478" spans="1:10" ht="21" hidden="1" customHeight="1" x14ac:dyDescent="0.2">
      <c r="A478" s="33"/>
      <c r="B478" s="34"/>
      <c r="C478" s="34"/>
      <c r="D478" s="34"/>
      <c r="E478" s="35"/>
      <c r="F478" s="36"/>
      <c r="G478" s="36"/>
      <c r="H478" s="37" t="str">
        <f>IFERROR(VLOOKUP(Tabela1[[#This Row],[Tag]],TAGS!$J$1:$K$11,2,0),"")</f>
        <v/>
      </c>
      <c r="I478" s="38" t="str">
        <f t="shared" si="7"/>
        <v/>
      </c>
      <c r="J478" s="39" t="str">
        <f>IF(Tabela1[[#This Row],[Caixa]]="Receita","Recebido",IF(F478="","",IF(G478="","",IF(G478&lt;F478,"Pago atrasado",IF(Tabela1[[#This Row],[Data do Pagamento / Compra]]&gt;Tabela1[[#This Row],[Data de Compra]],"Pago","Pago")))))</f>
        <v/>
      </c>
    </row>
    <row r="479" spans="1:10" ht="21" hidden="1" customHeight="1" x14ac:dyDescent="0.2">
      <c r="A479" s="33"/>
      <c r="B479" s="34"/>
      <c r="C479" s="34"/>
      <c r="D479" s="34"/>
      <c r="E479" s="35"/>
      <c r="F479" s="36"/>
      <c r="G479" s="36"/>
      <c r="H479" s="37" t="str">
        <f>IFERROR(VLOOKUP(Tabela1[[#This Row],[Tag]],TAGS!$J$1:$K$11,2,0),"")</f>
        <v/>
      </c>
      <c r="I479" s="38" t="str">
        <f t="shared" si="7"/>
        <v/>
      </c>
      <c r="J479" s="39" t="str">
        <f>IF(Tabela1[[#This Row],[Caixa]]="Receita","Recebido",IF(F479="","",IF(G479="","",IF(G479&lt;F479,"Pago atrasado",IF(Tabela1[[#This Row],[Data do Pagamento / Compra]]&gt;Tabela1[[#This Row],[Data de Compra]],"Pago","Pago")))))</f>
        <v/>
      </c>
    </row>
    <row r="480" spans="1:10" ht="21" hidden="1" customHeight="1" x14ac:dyDescent="0.2">
      <c r="A480" s="33"/>
      <c r="B480" s="34"/>
      <c r="C480" s="34"/>
      <c r="D480" s="34"/>
      <c r="E480" s="35"/>
      <c r="F480" s="36"/>
      <c r="G480" s="36"/>
      <c r="H480" s="37" t="str">
        <f>IFERROR(VLOOKUP(Tabela1[[#This Row],[Tag]],TAGS!$J$1:$K$11,2,0),"")</f>
        <v/>
      </c>
      <c r="I480" s="38" t="str">
        <f t="shared" si="7"/>
        <v/>
      </c>
      <c r="J480" s="39" t="str">
        <f>IF(Tabela1[[#This Row],[Caixa]]="Receita","Recebido",IF(F480="","",IF(G480="","",IF(G480&lt;F480,"Pago atrasado",IF(Tabela1[[#This Row],[Data do Pagamento / Compra]]&gt;Tabela1[[#This Row],[Data de Compra]],"Pago","Pago")))))</f>
        <v/>
      </c>
    </row>
    <row r="481" spans="1:10" ht="21" hidden="1" customHeight="1" x14ac:dyDescent="0.2">
      <c r="A481" s="33"/>
      <c r="B481" s="34"/>
      <c r="C481" s="34"/>
      <c r="D481" s="34"/>
      <c r="E481" s="35"/>
      <c r="F481" s="36"/>
      <c r="G481" s="36"/>
      <c r="H481" s="37" t="str">
        <f>IFERROR(VLOOKUP(Tabela1[[#This Row],[Tag]],TAGS!$J$1:$K$11,2,0),"")</f>
        <v/>
      </c>
      <c r="I481" s="38" t="str">
        <f t="shared" si="7"/>
        <v/>
      </c>
      <c r="J481" s="39" t="str">
        <f>IF(Tabela1[[#This Row],[Caixa]]="Receita","Recebido",IF(F481="","",IF(G481="","",IF(G481&lt;F481,"Pago atrasado",IF(Tabela1[[#This Row],[Data do Pagamento / Compra]]&gt;Tabela1[[#This Row],[Data de Compra]],"Pago","Pago")))))</f>
        <v/>
      </c>
    </row>
    <row r="482" spans="1:10" ht="21" hidden="1" customHeight="1" x14ac:dyDescent="0.2">
      <c r="A482" s="33"/>
      <c r="B482" s="34"/>
      <c r="C482" s="34"/>
      <c r="D482" s="34"/>
      <c r="E482" s="35"/>
      <c r="F482" s="36"/>
      <c r="G482" s="36"/>
      <c r="H482" s="37" t="str">
        <f>IFERROR(VLOOKUP(Tabela1[[#This Row],[Tag]],TAGS!$J$1:$K$11,2,0),"")</f>
        <v/>
      </c>
      <c r="I482" s="38" t="str">
        <f t="shared" si="7"/>
        <v/>
      </c>
      <c r="J482" s="39" t="str">
        <f>IF(Tabela1[[#This Row],[Caixa]]="Receita","Recebido",IF(F482="","",IF(G482="","",IF(G482&lt;F482,"Pago atrasado",IF(Tabela1[[#This Row],[Data do Pagamento / Compra]]&gt;Tabela1[[#This Row],[Data de Compra]],"Pago","Pago")))))</f>
        <v/>
      </c>
    </row>
    <row r="483" spans="1:10" ht="21" hidden="1" customHeight="1" x14ac:dyDescent="0.2">
      <c r="A483" s="33"/>
      <c r="B483" s="34"/>
      <c r="C483" s="34"/>
      <c r="D483" s="34"/>
      <c r="E483" s="35"/>
      <c r="F483" s="36"/>
      <c r="G483" s="36"/>
      <c r="H483" s="37" t="str">
        <f>IFERROR(VLOOKUP(Tabela1[[#This Row],[Tag]],TAGS!$J$1:$K$11,2,0),"")</f>
        <v/>
      </c>
      <c r="I483" s="38" t="str">
        <f t="shared" si="7"/>
        <v/>
      </c>
      <c r="J483" s="39" t="str">
        <f>IF(Tabela1[[#This Row],[Caixa]]="Receita","Recebido",IF(F483="","",IF(G483="","",IF(G483&lt;F483,"Pago atrasado",IF(Tabela1[[#This Row],[Data do Pagamento / Compra]]&gt;Tabela1[[#This Row],[Data de Compra]],"Pago","Pago")))))</f>
        <v/>
      </c>
    </row>
    <row r="484" spans="1:10" ht="21" hidden="1" customHeight="1" x14ac:dyDescent="0.2">
      <c r="A484" s="33"/>
      <c r="B484" s="34"/>
      <c r="C484" s="34"/>
      <c r="D484" s="34"/>
      <c r="E484" s="35"/>
      <c r="F484" s="36"/>
      <c r="G484" s="36"/>
      <c r="H484" s="37" t="str">
        <f>IFERROR(VLOOKUP(Tabela1[[#This Row],[Tag]],TAGS!$J$1:$K$11,2,0),"")</f>
        <v/>
      </c>
      <c r="I484" s="38" t="str">
        <f t="shared" si="7"/>
        <v/>
      </c>
      <c r="J484" s="39" t="str">
        <f>IF(Tabela1[[#This Row],[Caixa]]="Receita","Recebido",IF(F484="","",IF(G484="","",IF(G484&lt;F484,"Pago atrasado",IF(Tabela1[[#This Row],[Data do Pagamento / Compra]]&gt;Tabela1[[#This Row],[Data de Compra]],"Pago","Pago")))))</f>
        <v/>
      </c>
    </row>
    <row r="485" spans="1:10" ht="21" hidden="1" customHeight="1" x14ac:dyDescent="0.2">
      <c r="A485" s="33"/>
      <c r="B485" s="34"/>
      <c r="C485" s="34"/>
      <c r="D485" s="34"/>
      <c r="E485" s="35"/>
      <c r="F485" s="36"/>
      <c r="G485" s="36"/>
      <c r="H485" s="37" t="str">
        <f>IFERROR(VLOOKUP(Tabela1[[#This Row],[Tag]],TAGS!$J$1:$K$11,2,0),"")</f>
        <v/>
      </c>
      <c r="I485" s="38" t="str">
        <f t="shared" si="7"/>
        <v/>
      </c>
      <c r="J485" s="39" t="str">
        <f>IF(Tabela1[[#This Row],[Caixa]]="Receita","Recebido",IF(F485="","",IF(G485="","",IF(G485&lt;F485,"Pago atrasado",IF(Tabela1[[#This Row],[Data do Pagamento / Compra]]&gt;Tabela1[[#This Row],[Data de Compra]],"Pago","Pago")))))</f>
        <v/>
      </c>
    </row>
    <row r="486" spans="1:10" ht="21" hidden="1" customHeight="1" x14ac:dyDescent="0.2">
      <c r="A486" s="33"/>
      <c r="B486" s="34"/>
      <c r="C486" s="34"/>
      <c r="D486" s="34"/>
      <c r="E486" s="35"/>
      <c r="F486" s="36"/>
      <c r="G486" s="36"/>
      <c r="H486" s="37" t="str">
        <f>IFERROR(VLOOKUP(Tabela1[[#This Row],[Tag]],TAGS!$J$1:$K$11,2,0),"")</f>
        <v/>
      </c>
      <c r="I486" s="38" t="str">
        <f t="shared" si="7"/>
        <v/>
      </c>
      <c r="J486" s="39" t="str">
        <f>IF(Tabela1[[#This Row],[Caixa]]="Receita","Recebido",IF(F486="","",IF(G486="","",IF(G486&lt;F486,"Pago atrasado",IF(Tabela1[[#This Row],[Data do Pagamento / Compra]]&gt;Tabela1[[#This Row],[Data de Compra]],"Pago","Pago")))))</f>
        <v/>
      </c>
    </row>
    <row r="487" spans="1:10" ht="21" hidden="1" customHeight="1" x14ac:dyDescent="0.2">
      <c r="A487" s="33"/>
      <c r="B487" s="34"/>
      <c r="C487" s="34"/>
      <c r="D487" s="34"/>
      <c r="E487" s="35"/>
      <c r="F487" s="36"/>
      <c r="G487" s="36"/>
      <c r="H487" s="37" t="str">
        <f>IFERROR(VLOOKUP(Tabela1[[#This Row],[Tag]],TAGS!$J$1:$K$11,2,0),"")</f>
        <v/>
      </c>
      <c r="I487" s="38" t="str">
        <f t="shared" si="7"/>
        <v/>
      </c>
      <c r="J487" s="39" t="str">
        <f>IF(Tabela1[[#This Row],[Caixa]]="Receita","Recebido",IF(F487="","",IF(G487="","",IF(G487&lt;F487,"Pago atrasado",IF(Tabela1[[#This Row],[Data do Pagamento / Compra]]&gt;Tabela1[[#This Row],[Data de Compra]],"Pago","Pago")))))</f>
        <v/>
      </c>
    </row>
    <row r="488" spans="1:10" ht="21" hidden="1" customHeight="1" x14ac:dyDescent="0.2">
      <c r="A488" s="33"/>
      <c r="B488" s="34"/>
      <c r="C488" s="34"/>
      <c r="D488" s="34"/>
      <c r="E488" s="35"/>
      <c r="F488" s="36"/>
      <c r="G488" s="36"/>
      <c r="H488" s="37" t="str">
        <f>IFERROR(VLOOKUP(Tabela1[[#This Row],[Tag]],TAGS!$J$1:$K$11,2,0),"")</f>
        <v/>
      </c>
      <c r="I488" s="38" t="str">
        <f t="shared" si="7"/>
        <v/>
      </c>
      <c r="J488" s="39" t="str">
        <f>IF(Tabela1[[#This Row],[Caixa]]="Receita","Recebido",IF(F488="","",IF(G488="","",IF(G488&lt;F488,"Pago atrasado",IF(Tabela1[[#This Row],[Data do Pagamento / Compra]]&gt;Tabela1[[#This Row],[Data de Compra]],"Pago","Pago")))))</f>
        <v/>
      </c>
    </row>
    <row r="489" spans="1:10" ht="21" hidden="1" customHeight="1" x14ac:dyDescent="0.2">
      <c r="A489" s="33"/>
      <c r="B489" s="34"/>
      <c r="C489" s="34"/>
      <c r="D489" s="34"/>
      <c r="E489" s="35"/>
      <c r="F489" s="36"/>
      <c r="G489" s="36"/>
      <c r="H489" s="37" t="str">
        <f>IFERROR(VLOOKUP(Tabela1[[#This Row],[Tag]],TAGS!$J$1:$K$11,2,0),"")</f>
        <v/>
      </c>
      <c r="I489" s="38" t="str">
        <f t="shared" si="7"/>
        <v/>
      </c>
      <c r="J489" s="39" t="str">
        <f>IF(Tabela1[[#This Row],[Caixa]]="Receita","Recebido",IF(F489="","",IF(G489="","",IF(G489&lt;F489,"Pago atrasado",IF(Tabela1[[#This Row],[Data do Pagamento / Compra]]&gt;Tabela1[[#This Row],[Data de Compra]],"Pago","Pago")))))</f>
        <v/>
      </c>
    </row>
    <row r="490" spans="1:10" ht="21" hidden="1" customHeight="1" x14ac:dyDescent="0.2">
      <c r="A490" s="33"/>
      <c r="B490" s="34"/>
      <c r="C490" s="34"/>
      <c r="D490" s="34"/>
      <c r="E490" s="35"/>
      <c r="F490" s="36"/>
      <c r="G490" s="36"/>
      <c r="H490" s="37" t="str">
        <f>IFERROR(VLOOKUP(Tabela1[[#This Row],[Tag]],TAGS!$J$1:$K$11,2,0),"")</f>
        <v/>
      </c>
      <c r="I490" s="38" t="str">
        <f t="shared" si="7"/>
        <v/>
      </c>
      <c r="J490" s="39" t="str">
        <f>IF(Tabela1[[#This Row],[Caixa]]="Receita","Recebido",IF(F490="","",IF(G490="","",IF(G490&lt;F490,"Pago atrasado",IF(Tabela1[[#This Row],[Data do Pagamento / Compra]]&gt;Tabela1[[#This Row],[Data de Compra]],"Pago","Pago")))))</f>
        <v/>
      </c>
    </row>
    <row r="491" spans="1:10" ht="21" hidden="1" customHeight="1" x14ac:dyDescent="0.2">
      <c r="A491" s="33"/>
      <c r="B491" s="34"/>
      <c r="C491" s="34"/>
      <c r="D491" s="34"/>
      <c r="E491" s="35"/>
      <c r="F491" s="36"/>
      <c r="G491" s="36"/>
      <c r="H491" s="37" t="str">
        <f>IFERROR(VLOOKUP(Tabela1[[#This Row],[Tag]],TAGS!$J$1:$K$11,2,0),"")</f>
        <v/>
      </c>
      <c r="I491" s="38" t="str">
        <f t="shared" si="7"/>
        <v/>
      </c>
      <c r="J491" s="39" t="str">
        <f>IF(Tabela1[[#This Row],[Caixa]]="Receita","Recebido",IF(F491="","",IF(G491="","",IF(G491&lt;F491,"Pago atrasado",IF(Tabela1[[#This Row],[Data do Pagamento / Compra]]&gt;Tabela1[[#This Row],[Data de Compra]],"Pago","Pago")))))</f>
        <v/>
      </c>
    </row>
    <row r="492" spans="1:10" ht="21" hidden="1" customHeight="1" x14ac:dyDescent="0.2">
      <c r="A492" s="33"/>
      <c r="B492" s="34"/>
      <c r="C492" s="34"/>
      <c r="D492" s="34"/>
      <c r="E492" s="35"/>
      <c r="F492" s="36"/>
      <c r="G492" s="36"/>
      <c r="H492" s="37" t="str">
        <f>IFERROR(VLOOKUP(Tabela1[[#This Row],[Tag]],TAGS!$J$1:$K$11,2,0),"")</f>
        <v/>
      </c>
      <c r="I492" s="38" t="str">
        <f t="shared" si="7"/>
        <v/>
      </c>
      <c r="J492" s="39" t="str">
        <f>IF(Tabela1[[#This Row],[Caixa]]="Receita","Recebido",IF(F492="","",IF(G492="","",IF(G492&lt;F492,"Pago atrasado",IF(Tabela1[[#This Row],[Data do Pagamento / Compra]]&gt;Tabela1[[#This Row],[Data de Compra]],"Pago","Pago")))))</f>
        <v/>
      </c>
    </row>
    <row r="493" spans="1:10" ht="21" hidden="1" customHeight="1" x14ac:dyDescent="0.2">
      <c r="A493" s="33"/>
      <c r="B493" s="34"/>
      <c r="C493" s="34"/>
      <c r="D493" s="34"/>
      <c r="E493" s="35"/>
      <c r="F493" s="36"/>
      <c r="G493" s="36"/>
      <c r="H493" s="37" t="str">
        <f>IFERROR(VLOOKUP(Tabela1[[#This Row],[Tag]],TAGS!$J$1:$K$11,2,0),"")</f>
        <v/>
      </c>
      <c r="I493" s="38" t="str">
        <f t="shared" si="7"/>
        <v/>
      </c>
      <c r="J493" s="39" t="str">
        <f>IF(Tabela1[[#This Row],[Caixa]]="Receita","Recebido",IF(F493="","",IF(G493="","",IF(G493&lt;F493,"Pago atrasado",IF(Tabela1[[#This Row],[Data do Pagamento / Compra]]&gt;Tabela1[[#This Row],[Data de Compra]],"Pago","Pago")))))</f>
        <v/>
      </c>
    </row>
    <row r="494" spans="1:10" ht="21" hidden="1" customHeight="1" x14ac:dyDescent="0.2">
      <c r="A494" s="33"/>
      <c r="B494" s="34"/>
      <c r="C494" s="34"/>
      <c r="D494" s="34"/>
      <c r="E494" s="35"/>
      <c r="F494" s="36"/>
      <c r="G494" s="36"/>
      <c r="H494" s="37" t="str">
        <f>IFERROR(VLOOKUP(Tabela1[[#This Row],[Tag]],TAGS!$J$1:$K$11,2,0),"")</f>
        <v/>
      </c>
      <c r="I494" s="38" t="str">
        <f t="shared" si="7"/>
        <v/>
      </c>
      <c r="J494" s="39" t="str">
        <f>IF(Tabela1[[#This Row],[Caixa]]="Receita","Recebido",IF(F494="","",IF(G494="","",IF(G494&lt;F494,"Pago atrasado",IF(Tabela1[[#This Row],[Data do Pagamento / Compra]]&gt;Tabela1[[#This Row],[Data de Compra]],"Pago","Pago")))))</f>
        <v/>
      </c>
    </row>
    <row r="495" spans="1:10" ht="21" hidden="1" customHeight="1" x14ac:dyDescent="0.2">
      <c r="A495" s="33"/>
      <c r="B495" s="34"/>
      <c r="C495" s="34"/>
      <c r="D495" s="34"/>
      <c r="E495" s="35"/>
      <c r="F495" s="36"/>
      <c r="G495" s="36"/>
      <c r="H495" s="37" t="str">
        <f>IFERROR(VLOOKUP(Tabela1[[#This Row],[Tag]],TAGS!$J$1:$K$11,2,0),"")</f>
        <v/>
      </c>
      <c r="I495" s="38" t="str">
        <f t="shared" si="7"/>
        <v/>
      </c>
      <c r="J495" s="39" t="str">
        <f>IF(Tabela1[[#This Row],[Caixa]]="Receita","Recebido",IF(F495="","",IF(G495="","",IF(G495&lt;F495,"Pago atrasado",IF(Tabela1[[#This Row],[Data do Pagamento / Compra]]&gt;Tabela1[[#This Row],[Data de Compra]],"Pago","Pago")))))</f>
        <v/>
      </c>
    </row>
    <row r="496" spans="1:10" ht="21" hidden="1" customHeight="1" x14ac:dyDescent="0.2">
      <c r="A496" s="33"/>
      <c r="B496" s="34"/>
      <c r="C496" s="34"/>
      <c r="D496" s="34"/>
      <c r="E496" s="35"/>
      <c r="F496" s="36"/>
      <c r="G496" s="36"/>
      <c r="H496" s="37" t="str">
        <f>IFERROR(VLOOKUP(Tabela1[[#This Row],[Tag]],TAGS!$J$1:$K$11,2,0),"")</f>
        <v/>
      </c>
      <c r="I496" s="38" t="str">
        <f t="shared" si="7"/>
        <v/>
      </c>
      <c r="J496" s="39" t="str">
        <f>IF(Tabela1[[#This Row],[Caixa]]="Receita","Recebido",IF(F496="","",IF(G496="","",IF(G496&lt;F496,"Pago atrasado",IF(Tabela1[[#This Row],[Data do Pagamento / Compra]]&gt;Tabela1[[#This Row],[Data de Compra]],"Pago","Pago")))))</f>
        <v/>
      </c>
    </row>
    <row r="497" spans="1:10" ht="21" hidden="1" customHeight="1" x14ac:dyDescent="0.2">
      <c r="A497" s="33"/>
      <c r="B497" s="34"/>
      <c r="C497" s="34"/>
      <c r="D497" s="34"/>
      <c r="E497" s="35"/>
      <c r="F497" s="36"/>
      <c r="G497" s="36"/>
      <c r="H497" s="37" t="str">
        <f>IFERROR(VLOOKUP(Tabela1[[#This Row],[Tag]],TAGS!$J$1:$K$11,2,0),"")</f>
        <v/>
      </c>
      <c r="I497" s="38" t="str">
        <f t="shared" si="7"/>
        <v/>
      </c>
      <c r="J497" s="39" t="str">
        <f>IF(Tabela1[[#This Row],[Caixa]]="Receita","Recebido",IF(F497="","",IF(G497="","",IF(G497&lt;F497,"Pago atrasado",IF(Tabela1[[#This Row],[Data do Pagamento / Compra]]&gt;Tabela1[[#This Row],[Data de Compra]],"Pago","Pago")))))</f>
        <v/>
      </c>
    </row>
    <row r="498" spans="1:10" ht="21" hidden="1" customHeight="1" x14ac:dyDescent="0.2">
      <c r="A498" s="33"/>
      <c r="B498" s="34"/>
      <c r="C498" s="34"/>
      <c r="D498" s="34"/>
      <c r="E498" s="35"/>
      <c r="F498" s="36"/>
      <c r="G498" s="36"/>
      <c r="H498" s="37" t="str">
        <f>IFERROR(VLOOKUP(Tabela1[[#This Row],[Tag]],TAGS!$J$1:$K$11,2,0),"")</f>
        <v/>
      </c>
      <c r="I498" s="38" t="str">
        <f t="shared" si="7"/>
        <v/>
      </c>
      <c r="J498" s="39" t="str">
        <f>IF(Tabela1[[#This Row],[Caixa]]="Receita","Recebido",IF(F498="","",IF(G498="","",IF(G498&lt;F498,"Pago atrasado",IF(Tabela1[[#This Row],[Data do Pagamento / Compra]]&gt;Tabela1[[#This Row],[Data de Compra]],"Pago","Pago")))))</f>
        <v/>
      </c>
    </row>
    <row r="499" spans="1:10" ht="21" hidden="1" customHeight="1" x14ac:dyDescent="0.2">
      <c r="A499" s="33"/>
      <c r="B499" s="34"/>
      <c r="C499" s="34"/>
      <c r="D499" s="34"/>
      <c r="E499" s="35"/>
      <c r="F499" s="36"/>
      <c r="G499" s="36"/>
      <c r="H499" s="37" t="str">
        <f>IFERROR(VLOOKUP(Tabela1[[#This Row],[Tag]],TAGS!$J$1:$K$11,2,0),"")</f>
        <v/>
      </c>
      <c r="I499" s="38" t="str">
        <f t="shared" si="7"/>
        <v/>
      </c>
      <c r="J499" s="39" t="str">
        <f>IF(Tabela1[[#This Row],[Caixa]]="Receita","Recebido",IF(F499="","",IF(G499="","",IF(G499&lt;F499,"Pago atrasado",IF(Tabela1[[#This Row],[Data do Pagamento / Compra]]&gt;Tabela1[[#This Row],[Data de Compra]],"Pago","Pago")))))</f>
        <v/>
      </c>
    </row>
    <row r="500" spans="1:10" ht="21" hidden="1" customHeight="1" x14ac:dyDescent="0.2">
      <c r="A500" s="33"/>
      <c r="B500" s="34"/>
      <c r="C500" s="34"/>
      <c r="D500" s="34"/>
      <c r="E500" s="35"/>
      <c r="F500" s="36"/>
      <c r="G500" s="36"/>
      <c r="H500" s="37" t="str">
        <f>IFERROR(VLOOKUP(Tabela1[[#This Row],[Tag]],TAGS!$J$1:$K$11,2,0),"")</f>
        <v/>
      </c>
      <c r="I500" s="38" t="str">
        <f t="shared" si="7"/>
        <v/>
      </c>
      <c r="J500" s="39" t="str">
        <f>IF(Tabela1[[#This Row],[Caixa]]="Receita","Recebido",IF(F500="","",IF(G500="","",IF(G500&lt;F500,"Pago atrasado",IF(Tabela1[[#This Row],[Data do Pagamento / Compra]]&gt;Tabela1[[#This Row],[Data de Compra]],"Pago","Pago")))))</f>
        <v/>
      </c>
    </row>
    <row r="501" spans="1:10" ht="21" hidden="1" customHeight="1" x14ac:dyDescent="0.2">
      <c r="A501" s="33"/>
      <c r="B501" s="34"/>
      <c r="C501" s="34"/>
      <c r="D501" s="34"/>
      <c r="E501" s="35"/>
      <c r="F501" s="36"/>
      <c r="G501" s="36"/>
      <c r="H501" s="37" t="str">
        <f>IFERROR(VLOOKUP(Tabela1[[#This Row],[Tag]],TAGS!$J$1:$K$11,2,0),"")</f>
        <v/>
      </c>
      <c r="I501" s="38" t="str">
        <f t="shared" si="7"/>
        <v/>
      </c>
      <c r="J501" s="39" t="str">
        <f>IF(Tabela1[[#This Row],[Caixa]]="Receita","Recebido",IF(F501="","",IF(G501="","",IF(G501&lt;F501,"Pago atrasado",IF(Tabela1[[#This Row],[Data do Pagamento / Compra]]&gt;Tabela1[[#This Row],[Data de Compra]],"Pago","Pago")))))</f>
        <v/>
      </c>
    </row>
    <row r="502" spans="1:10" ht="21" hidden="1" customHeight="1" x14ac:dyDescent="0.2">
      <c r="A502" s="33"/>
      <c r="B502" s="34"/>
      <c r="C502" s="34"/>
      <c r="D502" s="34"/>
      <c r="E502" s="35"/>
      <c r="F502" s="36"/>
      <c r="G502" s="36"/>
      <c r="H502" s="37" t="str">
        <f>IFERROR(VLOOKUP(Tabela1[[#This Row],[Tag]],TAGS!$J$1:$K$11,2,0),"")</f>
        <v/>
      </c>
      <c r="I502" s="38" t="str">
        <f t="shared" si="7"/>
        <v/>
      </c>
      <c r="J502" s="39" t="str">
        <f>IF(Tabela1[[#This Row],[Caixa]]="Receita","Recebido",IF(F502="","",IF(G502="","",IF(G502&lt;F502,"Pago atrasado",IF(Tabela1[[#This Row],[Data do Pagamento / Compra]]&gt;Tabela1[[#This Row],[Data de Compra]],"Pago","Pago")))))</f>
        <v/>
      </c>
    </row>
    <row r="503" spans="1:10" ht="21" hidden="1" customHeight="1" x14ac:dyDescent="0.2">
      <c r="A503" s="33"/>
      <c r="B503" s="34"/>
      <c r="C503" s="34"/>
      <c r="D503" s="34"/>
      <c r="E503" s="35"/>
      <c r="F503" s="36"/>
      <c r="G503" s="36"/>
      <c r="H503" s="37" t="str">
        <f>IFERROR(VLOOKUP(Tabela1[[#This Row],[Tag]],TAGS!$J$1:$K$11,2,0),"")</f>
        <v/>
      </c>
      <c r="I503" s="38" t="str">
        <f t="shared" si="7"/>
        <v/>
      </c>
      <c r="J503" s="39" t="str">
        <f>IF(Tabela1[[#This Row],[Caixa]]="Receita","Recebido",IF(F503="","",IF(G503="","",IF(G503&lt;F503,"Pago atrasado",IF(Tabela1[[#This Row],[Data do Pagamento / Compra]]&gt;Tabela1[[#This Row],[Data de Compra]],"Pago","Pago")))))</f>
        <v/>
      </c>
    </row>
    <row r="504" spans="1:10" ht="21" hidden="1" customHeight="1" x14ac:dyDescent="0.2">
      <c r="A504" s="33"/>
      <c r="B504" s="34"/>
      <c r="C504" s="34"/>
      <c r="D504" s="34"/>
      <c r="E504" s="35"/>
      <c r="F504" s="36"/>
      <c r="G504" s="36"/>
      <c r="H504" s="37" t="str">
        <f>IFERROR(VLOOKUP(Tabela1[[#This Row],[Tag]],TAGS!$J$1:$K$11,2,0),"")</f>
        <v/>
      </c>
      <c r="I504" s="38" t="str">
        <f t="shared" si="7"/>
        <v/>
      </c>
      <c r="J504" s="39" t="str">
        <f>IF(Tabela1[[#This Row],[Caixa]]="Receita","Recebido",IF(F504="","",IF(G504="","",IF(G504&lt;F504,"Pago atrasado",IF(Tabela1[[#This Row],[Data do Pagamento / Compra]]&gt;Tabela1[[#This Row],[Data de Compra]],"Pago","Pago")))))</f>
        <v/>
      </c>
    </row>
    <row r="505" spans="1:10" ht="21" hidden="1" customHeight="1" x14ac:dyDescent="0.2">
      <c r="A505" s="33"/>
      <c r="B505" s="34"/>
      <c r="C505" s="34"/>
      <c r="D505" s="34"/>
      <c r="E505" s="35"/>
      <c r="F505" s="36"/>
      <c r="G505" s="36"/>
      <c r="H505" s="37" t="str">
        <f>IFERROR(VLOOKUP(Tabela1[[#This Row],[Tag]],TAGS!$J$1:$K$11,2,0),"")</f>
        <v/>
      </c>
      <c r="I505" s="38" t="str">
        <f t="shared" si="7"/>
        <v/>
      </c>
      <c r="J505" s="39" t="str">
        <f>IF(Tabela1[[#This Row],[Caixa]]="Receita","Recebido",IF(F505="","",IF(G505="","",IF(G505&lt;F505,"Pago atrasado",IF(Tabela1[[#This Row],[Data do Pagamento / Compra]]&gt;Tabela1[[#This Row],[Data de Compra]],"Pago","Pago")))))</f>
        <v/>
      </c>
    </row>
    <row r="506" spans="1:10" ht="21" hidden="1" customHeight="1" x14ac:dyDescent="0.2">
      <c r="A506" s="33"/>
      <c r="B506" s="34"/>
      <c r="C506" s="34"/>
      <c r="D506" s="34"/>
      <c r="E506" s="35"/>
      <c r="F506" s="36"/>
      <c r="G506" s="36"/>
      <c r="H506" s="37" t="str">
        <f>IFERROR(VLOOKUP(Tabela1[[#This Row],[Tag]],TAGS!$J$1:$K$11,2,0),"")</f>
        <v/>
      </c>
      <c r="I506" s="38" t="str">
        <f t="shared" si="7"/>
        <v/>
      </c>
      <c r="J506" s="39" t="str">
        <f>IF(Tabela1[[#This Row],[Caixa]]="Receita","Recebido",IF(F506="","",IF(G506="","",IF(G506&lt;F506,"Pago atrasado",IF(Tabela1[[#This Row],[Data do Pagamento / Compra]]&gt;Tabela1[[#This Row],[Data de Compra]],"Pago","Pago")))))</f>
        <v/>
      </c>
    </row>
    <row r="507" spans="1:10" ht="21" hidden="1" customHeight="1" x14ac:dyDescent="0.2">
      <c r="A507" s="33"/>
      <c r="B507" s="34"/>
      <c r="C507" s="34"/>
      <c r="D507" s="34"/>
      <c r="E507" s="35"/>
      <c r="F507" s="36"/>
      <c r="G507" s="36"/>
      <c r="H507" s="37" t="str">
        <f>IFERROR(VLOOKUP(Tabela1[[#This Row],[Tag]],TAGS!$J$1:$K$11,2,0),"")</f>
        <v/>
      </c>
      <c r="I507" s="38" t="str">
        <f t="shared" si="7"/>
        <v/>
      </c>
      <c r="J507" s="39" t="str">
        <f>IF(Tabela1[[#This Row],[Caixa]]="Receita","Recebido",IF(F507="","",IF(G507="","",IF(G507&lt;F507,"Pago atrasado",IF(Tabela1[[#This Row],[Data do Pagamento / Compra]]&gt;Tabela1[[#This Row],[Data de Compra]],"Pago","Pago")))))</f>
        <v/>
      </c>
    </row>
    <row r="508" spans="1:10" ht="21" hidden="1" customHeight="1" x14ac:dyDescent="0.2">
      <c r="A508" s="33"/>
      <c r="B508" s="34"/>
      <c r="C508" s="34"/>
      <c r="D508" s="34"/>
      <c r="E508" s="35"/>
      <c r="F508" s="36"/>
      <c r="G508" s="36"/>
      <c r="H508" s="37" t="str">
        <f>IFERROR(VLOOKUP(Tabela1[[#This Row],[Tag]],TAGS!$J$1:$K$11,2,0),"")</f>
        <v/>
      </c>
      <c r="I508" s="38" t="str">
        <f t="shared" si="7"/>
        <v/>
      </c>
      <c r="J508" s="39" t="str">
        <f>IF(Tabela1[[#This Row],[Caixa]]="Receita","Recebido",IF(F508="","",IF(G508="","",IF(G508&lt;F508,"Pago atrasado",IF(Tabela1[[#This Row],[Data do Pagamento / Compra]]&gt;Tabela1[[#This Row],[Data de Compra]],"Pago","Pago")))))</f>
        <v/>
      </c>
    </row>
    <row r="509" spans="1:10" ht="21" hidden="1" customHeight="1" x14ac:dyDescent="0.2">
      <c r="A509" s="33"/>
      <c r="B509" s="34"/>
      <c r="C509" s="34"/>
      <c r="D509" s="34"/>
      <c r="E509" s="35"/>
      <c r="F509" s="36"/>
      <c r="G509" s="36"/>
      <c r="H509" s="37" t="str">
        <f>IFERROR(VLOOKUP(Tabela1[[#This Row],[Tag]],TAGS!$J$1:$K$11,2,0),"")</f>
        <v/>
      </c>
      <c r="I509" s="38" t="str">
        <f t="shared" si="7"/>
        <v/>
      </c>
      <c r="J509" s="39" t="str">
        <f>IF(Tabela1[[#This Row],[Caixa]]="Receita","Recebido",IF(F509="","",IF(G509="","",IF(G509&lt;F509,"Pago atrasado",IF(Tabela1[[#This Row],[Data do Pagamento / Compra]]&gt;Tabela1[[#This Row],[Data de Compra]],"Pago","Pago")))))</f>
        <v/>
      </c>
    </row>
    <row r="510" spans="1:10" ht="21" hidden="1" customHeight="1" x14ac:dyDescent="0.2">
      <c r="A510" s="33"/>
      <c r="B510" s="34"/>
      <c r="C510" s="34"/>
      <c r="D510" s="34"/>
      <c r="E510" s="35"/>
      <c r="F510" s="36"/>
      <c r="G510" s="36"/>
      <c r="H510" s="37" t="str">
        <f>IFERROR(VLOOKUP(Tabela1[[#This Row],[Tag]],TAGS!$J$1:$K$11,2,0),"")</f>
        <v/>
      </c>
      <c r="I510" s="38" t="str">
        <f t="shared" si="7"/>
        <v/>
      </c>
      <c r="J510" s="39" t="str">
        <f>IF(Tabela1[[#This Row],[Caixa]]="Receita","Recebido",IF(F510="","",IF(G510="","",IF(G510&lt;F510,"Pago atrasado",IF(Tabela1[[#This Row],[Data do Pagamento / Compra]]&gt;Tabela1[[#This Row],[Data de Compra]],"Pago","Pago")))))</f>
        <v/>
      </c>
    </row>
    <row r="511" spans="1:10" ht="21" hidden="1" customHeight="1" x14ac:dyDescent="0.2">
      <c r="A511" s="33"/>
      <c r="B511" s="34"/>
      <c r="C511" s="34"/>
      <c r="D511" s="34"/>
      <c r="E511" s="35"/>
      <c r="F511" s="36"/>
      <c r="G511" s="36"/>
      <c r="H511" s="37" t="str">
        <f>IFERROR(VLOOKUP(Tabela1[[#This Row],[Tag]],TAGS!$J$1:$K$11,2,0),"")</f>
        <v/>
      </c>
      <c r="I511" s="38" t="str">
        <f t="shared" si="7"/>
        <v/>
      </c>
      <c r="J511" s="39" t="str">
        <f>IF(Tabela1[[#This Row],[Caixa]]="Receita","Recebido",IF(F511="","",IF(G511="","",IF(G511&lt;F511,"Pago atrasado",IF(Tabela1[[#This Row],[Data do Pagamento / Compra]]&gt;Tabela1[[#This Row],[Data de Compra]],"Pago","Pago")))))</f>
        <v/>
      </c>
    </row>
    <row r="512" spans="1:10" ht="21" hidden="1" customHeight="1" x14ac:dyDescent="0.2">
      <c r="A512" s="33"/>
      <c r="B512" s="34"/>
      <c r="C512" s="34"/>
      <c r="D512" s="34"/>
      <c r="E512" s="35"/>
      <c r="F512" s="36"/>
      <c r="G512" s="36"/>
      <c r="H512" s="37" t="str">
        <f>IFERROR(VLOOKUP(Tabela1[[#This Row],[Tag]],TAGS!$J$1:$K$11,2,0),"")</f>
        <v/>
      </c>
      <c r="I512" s="38" t="str">
        <f t="shared" si="7"/>
        <v/>
      </c>
      <c r="J512" s="39" t="str">
        <f>IF(Tabela1[[#This Row],[Caixa]]="Receita","Recebido",IF(F512="","",IF(G512="","",IF(G512&lt;F512,"Pago atrasado",IF(Tabela1[[#This Row],[Data do Pagamento / Compra]]&gt;Tabela1[[#This Row],[Data de Compra]],"Pago","Pago")))))</f>
        <v/>
      </c>
    </row>
    <row r="513" spans="1:10" ht="21" hidden="1" customHeight="1" x14ac:dyDescent="0.2">
      <c r="A513" s="33"/>
      <c r="B513" s="34"/>
      <c r="C513" s="34"/>
      <c r="D513" s="34"/>
      <c r="E513" s="35"/>
      <c r="F513" s="36"/>
      <c r="G513" s="36"/>
      <c r="H513" s="37" t="str">
        <f>IFERROR(VLOOKUP(Tabela1[[#This Row],[Tag]],TAGS!$J$1:$K$11,2,0),"")</f>
        <v/>
      </c>
      <c r="I513" s="38" t="str">
        <f t="shared" si="7"/>
        <v/>
      </c>
      <c r="J513" s="39" t="str">
        <f>IF(Tabela1[[#This Row],[Caixa]]="Receita","Recebido",IF(F513="","",IF(G513="","",IF(G513&lt;F513,"Pago atrasado",IF(Tabela1[[#This Row],[Data do Pagamento / Compra]]&gt;Tabela1[[#This Row],[Data de Compra]],"Pago","Pago")))))</f>
        <v/>
      </c>
    </row>
    <row r="514" spans="1:10" ht="21" hidden="1" customHeight="1" x14ac:dyDescent="0.2">
      <c r="A514" s="33"/>
      <c r="B514" s="34"/>
      <c r="C514" s="34"/>
      <c r="D514" s="34"/>
      <c r="E514" s="35"/>
      <c r="F514" s="36"/>
      <c r="G514" s="36"/>
      <c r="H514" s="37" t="str">
        <f>IFERROR(VLOOKUP(Tabela1[[#This Row],[Tag]],TAGS!$J$1:$K$11,2,0),"")</f>
        <v/>
      </c>
      <c r="I514" s="38" t="str">
        <f t="shared" si="7"/>
        <v/>
      </c>
      <c r="J514" s="39" t="str">
        <f>IF(Tabela1[[#This Row],[Caixa]]="Receita","Recebido",IF(F514="","",IF(G514="","",IF(G514&lt;F514,"Pago atrasado",IF(Tabela1[[#This Row],[Data do Pagamento / Compra]]&gt;Tabela1[[#This Row],[Data de Compra]],"Pago","Pago")))))</f>
        <v/>
      </c>
    </row>
    <row r="515" spans="1:10" ht="21" hidden="1" customHeight="1" x14ac:dyDescent="0.2">
      <c r="A515" s="33"/>
      <c r="B515" s="34"/>
      <c r="C515" s="34"/>
      <c r="D515" s="34"/>
      <c r="E515" s="35"/>
      <c r="F515" s="36"/>
      <c r="G515" s="36"/>
      <c r="H515" s="37" t="str">
        <f>IFERROR(VLOOKUP(Tabela1[[#This Row],[Tag]],TAGS!$J$1:$K$11,2,0),"")</f>
        <v/>
      </c>
      <c r="I515" s="38" t="str">
        <f t="shared" ref="I515:I520" si="8">IF(G515="","",TEXT(G515,"mmmm"))</f>
        <v/>
      </c>
      <c r="J515" s="39" t="str">
        <f>IF(Tabela1[[#This Row],[Caixa]]="Receita","Recebido",IF(F515="","",IF(G515="","",IF(G515&lt;F515,"Pago atrasado",IF(Tabela1[[#This Row],[Data do Pagamento / Compra]]&gt;Tabela1[[#This Row],[Data de Compra]],"Pago","Pago")))))</f>
        <v/>
      </c>
    </row>
    <row r="516" spans="1:10" ht="21" hidden="1" customHeight="1" x14ac:dyDescent="0.2">
      <c r="A516" s="33"/>
      <c r="B516" s="34"/>
      <c r="C516" s="34"/>
      <c r="D516" s="34"/>
      <c r="E516" s="35"/>
      <c r="F516" s="36"/>
      <c r="G516" s="36"/>
      <c r="H516" s="37" t="str">
        <f>IFERROR(VLOOKUP(Tabela1[[#This Row],[Tag]],TAGS!$J$1:$K$11,2,0),"")</f>
        <v/>
      </c>
      <c r="I516" s="38" t="str">
        <f t="shared" si="8"/>
        <v/>
      </c>
      <c r="J516" s="39" t="str">
        <f>IF(Tabela1[[#This Row],[Caixa]]="Receita","Recebido",IF(F516="","",IF(G516="","",IF(G516&lt;F516,"Pago atrasado",IF(Tabela1[[#This Row],[Data do Pagamento / Compra]]&gt;Tabela1[[#This Row],[Data de Compra]],"Pago","Pago")))))</f>
        <v/>
      </c>
    </row>
    <row r="517" spans="1:10" ht="21" hidden="1" customHeight="1" x14ac:dyDescent="0.2">
      <c r="A517" s="33"/>
      <c r="B517" s="34"/>
      <c r="C517" s="34"/>
      <c r="D517" s="34"/>
      <c r="E517" s="35"/>
      <c r="F517" s="36"/>
      <c r="G517" s="36"/>
      <c r="H517" s="37" t="str">
        <f>IFERROR(VLOOKUP(Tabela1[[#This Row],[Tag]],TAGS!$J$1:$K$11,2,0),"")</f>
        <v/>
      </c>
      <c r="I517" s="38" t="str">
        <f t="shared" si="8"/>
        <v/>
      </c>
      <c r="J517" s="39" t="str">
        <f>IF(Tabela1[[#This Row],[Caixa]]="Receita","Recebido",IF(F517="","",IF(G517="","",IF(G517&lt;F517,"Pago atrasado",IF(Tabela1[[#This Row],[Data do Pagamento / Compra]]&gt;Tabela1[[#This Row],[Data de Compra]],"Pago","Pago")))))</f>
        <v/>
      </c>
    </row>
    <row r="518" spans="1:10" ht="21" hidden="1" customHeight="1" x14ac:dyDescent="0.2">
      <c r="A518" s="33"/>
      <c r="B518" s="34"/>
      <c r="C518" s="34"/>
      <c r="D518" s="34"/>
      <c r="E518" s="35"/>
      <c r="F518" s="36"/>
      <c r="G518" s="36"/>
      <c r="H518" s="37" t="str">
        <f>IFERROR(VLOOKUP(Tabela1[[#This Row],[Tag]],TAGS!$J$1:$K$11,2,0),"")</f>
        <v/>
      </c>
      <c r="I518" s="38" t="str">
        <f t="shared" si="8"/>
        <v/>
      </c>
      <c r="J518" s="39" t="str">
        <f>IF(Tabela1[[#This Row],[Caixa]]="Receita","Recebido",IF(F518="","",IF(G518="","",IF(G518&lt;F518,"Pago atrasado",IF(Tabela1[[#This Row],[Data do Pagamento / Compra]]&gt;Tabela1[[#This Row],[Data de Compra]],"Pago","Pago")))))</f>
        <v/>
      </c>
    </row>
    <row r="519" spans="1:10" ht="21" hidden="1" customHeight="1" x14ac:dyDescent="0.2">
      <c r="A519" s="33"/>
      <c r="B519" s="34"/>
      <c r="C519" s="34"/>
      <c r="D519" s="34"/>
      <c r="E519" s="35"/>
      <c r="F519" s="36"/>
      <c r="G519" s="36"/>
      <c r="H519" s="37" t="str">
        <f>IFERROR(VLOOKUP(Tabela1[[#This Row],[Tag]],TAGS!$J$1:$K$11,2,0),"")</f>
        <v/>
      </c>
      <c r="I519" s="38" t="str">
        <f t="shared" si="8"/>
        <v/>
      </c>
      <c r="J519" s="39" t="str">
        <f>IF(Tabela1[[#This Row],[Caixa]]="Receita","Recebido",IF(F519="","",IF(G519="","",IF(G519&lt;F519,"Pago atrasado",IF(Tabela1[[#This Row],[Data do Pagamento / Compra]]&gt;Tabela1[[#This Row],[Data de Compra]],"Pago","Pago")))))</f>
        <v/>
      </c>
    </row>
    <row r="520" spans="1:10" ht="21" hidden="1" customHeight="1" x14ac:dyDescent="0.2">
      <c r="A520" s="33"/>
      <c r="B520" s="34"/>
      <c r="C520" s="34"/>
      <c r="D520" s="34"/>
      <c r="E520" s="35"/>
      <c r="F520" s="36"/>
      <c r="G520" s="36"/>
      <c r="H520" s="37" t="str">
        <f>IFERROR(VLOOKUP(Tabela1[[#This Row],[Tag]],TAGS!$J$1:$K$11,2,0),"")</f>
        <v/>
      </c>
      <c r="I520" s="38" t="str">
        <f t="shared" si="8"/>
        <v/>
      </c>
      <c r="J520" s="39" t="str">
        <f>IF(Tabela1[[#This Row],[Caixa]]="Receita","Recebido",IF(F520="","",IF(G520="","",IF(G520&lt;F520,"Pago atrasado",IF(Tabela1[[#This Row],[Data do Pagamento / Compra]]&gt;Tabela1[[#This Row],[Data de Compra]],"Pago","Pago")))))</f>
        <v/>
      </c>
    </row>
    <row r="521" spans="1:10" ht="14.25" x14ac:dyDescent="0.2">
      <c r="A521" s="50" t="s">
        <v>80</v>
      </c>
      <c r="B521" s="51"/>
      <c r="C521" s="51"/>
      <c r="D521" s="51"/>
      <c r="E521" s="52">
        <f>SUM(E93:E150)</f>
        <v>8635.5400000000009</v>
      </c>
      <c r="F521" s="51"/>
      <c r="G521" s="51"/>
      <c r="H521" s="53"/>
      <c r="I521" s="51"/>
      <c r="J521" s="53"/>
    </row>
  </sheetData>
  <conditionalFormatting sqref="J4:J520">
    <cfRule type="cellIs" dxfId="2" priority="1" operator="equal">
      <formula>"Recebido"</formula>
    </cfRule>
    <cfRule type="cellIs" dxfId="1" priority="3" operator="equal">
      <formula>"Pago atrasado"</formula>
    </cfRule>
    <cfRule type="cellIs" dxfId="0" priority="4" operator="equal">
      <formula>"pago"</formula>
    </cfRule>
  </conditionalFormatting>
  <pageMargins left="0.7" right="0.7" top="0.75" bottom="0.75" header="0.3" footer="0.3"/>
  <pageSetup paperSize="9" orientation="portrait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5CC8BA8-9035-4797-A768-12C8D6B60B87}">
          <x14:formula1>
            <xm:f>TAGS!$A$2:$A$11</xm:f>
          </x14:formula1>
          <xm:sqref>C162:C165 C167:C168 C170 C4:C159 C172:C520</xm:sqref>
        </x14:dataValidation>
        <x14:dataValidation type="list" allowBlank="1" showInputMessage="1" showErrorMessage="1" xr:uid="{3FD2F999-F618-42C8-9C71-61BFEBAC1938}">
          <x14:formula1>
            <xm:f>TAGS!$E$2:$E$9</xm:f>
          </x14:formula1>
          <xm:sqref>D162:D165 D167:D168 D170 D4:D159 D172:D520</xm:sqref>
        </x14:dataValidation>
        <x14:dataValidation type="list" allowBlank="1" showInputMessage="1" showErrorMessage="1" xr:uid="{59CB67F2-6882-48D0-8642-E5ED0625BDA3}">
          <x14:formula1>
            <xm:f>TAGS!$C$2:$C$4</xm:f>
          </x14:formula1>
          <xm:sqref>B164:B165 B167:B168 B170 B172 B4:B159 B175:B520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375E2A-6BC2-4336-8354-936127C928CE}">
  <sheetPr>
    <tabColor theme="9" tint="-0.499984740745262"/>
  </sheetPr>
  <dimension ref="A15:W50"/>
  <sheetViews>
    <sheetView showGridLines="0" topLeftCell="A4" zoomScaleNormal="100" workbookViewId="0">
      <selection activeCell="U14" sqref="U14"/>
    </sheetView>
  </sheetViews>
  <sheetFormatPr defaultRowHeight="15" x14ac:dyDescent="0.25"/>
  <cols>
    <col min="1" max="1" width="3" customWidth="1"/>
    <col min="2" max="2" width="9.140625" customWidth="1"/>
    <col min="3" max="3" width="15.140625" bestFit="1" customWidth="1"/>
    <col min="4" max="4" width="11.28515625" bestFit="1" customWidth="1"/>
    <col min="5" max="5" width="15.140625" bestFit="1" customWidth="1"/>
    <col min="7" max="7" width="16.42578125" bestFit="1" customWidth="1"/>
    <col min="20" max="20" width="10.7109375" customWidth="1"/>
    <col min="21" max="21" width="15.7109375" customWidth="1"/>
    <col min="22" max="22" width="5.42578125" customWidth="1"/>
  </cols>
  <sheetData>
    <row r="15" spans="1:1" x14ac:dyDescent="0.25"/>
    <row r="18" spans="20:23" x14ac:dyDescent="0.25">
      <c r="U18" s="10"/>
      <c r="V18" s="10"/>
    </row>
    <row r="19" spans="20:23" x14ac:dyDescent="0.25">
      <c r="T19" s="7"/>
      <c r="U19" s="10"/>
      <c r="V19" s="11"/>
      <c r="W19" s="7"/>
    </row>
    <row r="20" spans="20:23" x14ac:dyDescent="0.25">
      <c r="T20" s="7"/>
      <c r="U20" s="10"/>
      <c r="V20" s="11"/>
      <c r="W20" s="7"/>
    </row>
    <row r="21" spans="20:23" x14ac:dyDescent="0.25">
      <c r="T21" s="7"/>
      <c r="U21" s="10"/>
      <c r="V21" s="11"/>
      <c r="W21" s="7"/>
    </row>
    <row r="50" spans="22:22" x14ac:dyDescent="0.25">
      <c r="V50" s="3"/>
    </row>
  </sheetData>
  <pageMargins left="0.511811024" right="0.511811024" top="0.78740157499999996" bottom="0.78740157499999996" header="0.31496062000000002" footer="0.31496062000000002"/>
  <drawing r:id="rId1"/>
  <legacy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4919FC-FA39-445C-BBA2-8286D230F2FC}">
  <sheetPr>
    <tabColor theme="7" tint="-0.499984740745262"/>
  </sheetPr>
  <dimension ref="A1:I33"/>
  <sheetViews>
    <sheetView showGridLines="0" workbookViewId="0">
      <selection activeCell="H9" sqref="H9"/>
    </sheetView>
  </sheetViews>
  <sheetFormatPr defaultRowHeight="15" x14ac:dyDescent="0.25"/>
  <cols>
    <col min="1" max="1" width="52.7109375" style="16" customWidth="1"/>
    <col min="2" max="2" width="49.42578125" style="16" bestFit="1" customWidth="1"/>
    <col min="3" max="3" width="25.7109375" style="17" bestFit="1" customWidth="1"/>
    <col min="4" max="4" width="12.140625" style="17" customWidth="1"/>
    <col min="5" max="5" width="11" style="17" customWidth="1"/>
    <col min="6" max="6" width="50.85546875" style="18" customWidth="1"/>
    <col min="7" max="7" width="20.28515625" style="77" customWidth="1"/>
    <col min="8" max="8" width="15" style="17" customWidth="1"/>
    <col min="9" max="9" width="10.5703125" bestFit="1" customWidth="1"/>
  </cols>
  <sheetData>
    <row r="1" spans="1:9" ht="54" customHeight="1" x14ac:dyDescent="0.25">
      <c r="A1" s="78" t="s">
        <v>137</v>
      </c>
      <c r="B1" s="78"/>
      <c r="C1" s="78"/>
      <c r="D1" s="78"/>
      <c r="E1" s="78"/>
      <c r="F1" s="78"/>
      <c r="G1" s="78"/>
      <c r="H1" s="79"/>
      <c r="I1" s="66"/>
    </row>
    <row r="2" spans="1:9" ht="19.5" customHeight="1" x14ac:dyDescent="0.25">
      <c r="A2" s="80" t="s">
        <v>138</v>
      </c>
      <c r="B2" s="81"/>
      <c r="C2" s="81"/>
      <c r="D2" s="81"/>
      <c r="E2" s="82"/>
      <c r="F2" s="83" t="s">
        <v>139</v>
      </c>
      <c r="G2" s="84"/>
      <c r="H2" s="85" t="s">
        <v>136</v>
      </c>
      <c r="I2" s="66"/>
    </row>
    <row r="3" spans="1:9" s="57" customFormat="1" ht="35.25" customHeight="1" x14ac:dyDescent="0.25">
      <c r="A3" s="64" t="s">
        <v>142</v>
      </c>
      <c r="B3" s="65" t="s">
        <v>141</v>
      </c>
      <c r="C3" s="62" t="s">
        <v>143</v>
      </c>
      <c r="D3" s="62" t="s">
        <v>147</v>
      </c>
      <c r="E3" s="62" t="s">
        <v>148</v>
      </c>
      <c r="F3" s="69" t="s">
        <v>146</v>
      </c>
      <c r="G3" s="74" t="s">
        <v>149</v>
      </c>
      <c r="H3" s="86"/>
      <c r="I3" s="67"/>
    </row>
    <row r="4" spans="1:9" ht="33.950000000000003" customHeight="1" x14ac:dyDescent="0.25">
      <c r="A4" s="63" t="s">
        <v>166</v>
      </c>
      <c r="B4" s="58" t="s">
        <v>162</v>
      </c>
      <c r="C4" s="59" t="s">
        <v>144</v>
      </c>
      <c r="D4" s="59" t="s">
        <v>145</v>
      </c>
      <c r="E4" s="60">
        <v>45388</v>
      </c>
      <c r="F4" s="71" t="s">
        <v>150</v>
      </c>
      <c r="G4" s="75">
        <v>271</v>
      </c>
      <c r="H4" s="68"/>
      <c r="I4" s="73"/>
    </row>
    <row r="5" spans="1:9" ht="33.950000000000003" customHeight="1" x14ac:dyDescent="0.25">
      <c r="A5" s="12" t="s">
        <v>165</v>
      </c>
      <c r="B5" s="12" t="s">
        <v>161</v>
      </c>
      <c r="C5" s="13" t="s">
        <v>144</v>
      </c>
      <c r="D5" s="13" t="s">
        <v>145</v>
      </c>
      <c r="E5" s="70">
        <v>45388</v>
      </c>
      <c r="F5" s="72" t="s">
        <v>150</v>
      </c>
      <c r="G5" s="76">
        <v>501</v>
      </c>
      <c r="H5" s="13"/>
    </row>
    <row r="6" spans="1:9" ht="33.950000000000003" customHeight="1" x14ac:dyDescent="0.25">
      <c r="A6" s="12" t="s">
        <v>164</v>
      </c>
      <c r="B6" s="12" t="s">
        <v>140</v>
      </c>
      <c r="C6" s="13" t="s">
        <v>154</v>
      </c>
      <c r="D6" s="13" t="s">
        <v>145</v>
      </c>
      <c r="E6" s="14">
        <v>45388</v>
      </c>
      <c r="F6" s="61" t="s">
        <v>157</v>
      </c>
      <c r="G6" s="76">
        <v>474</v>
      </c>
      <c r="H6" s="13"/>
    </row>
    <row r="7" spans="1:9" ht="33.950000000000003" customHeight="1" x14ac:dyDescent="0.25">
      <c r="A7" s="12" t="s">
        <v>152</v>
      </c>
      <c r="B7" s="12" t="s">
        <v>153</v>
      </c>
      <c r="C7" s="13" t="s">
        <v>155</v>
      </c>
      <c r="D7" s="13" t="s">
        <v>145</v>
      </c>
      <c r="E7" s="14">
        <v>45388</v>
      </c>
      <c r="F7" s="15" t="s">
        <v>156</v>
      </c>
      <c r="G7" s="76"/>
      <c r="H7" s="13"/>
    </row>
    <row r="8" spans="1:9" ht="33.950000000000003" customHeight="1" x14ac:dyDescent="0.25">
      <c r="A8" s="12" t="s">
        <v>158</v>
      </c>
      <c r="B8" s="12" t="s">
        <v>159</v>
      </c>
      <c r="C8" s="13" t="s">
        <v>155</v>
      </c>
      <c r="D8" s="13" t="s">
        <v>145</v>
      </c>
      <c r="E8" s="14">
        <v>45388</v>
      </c>
      <c r="F8" s="15" t="s">
        <v>160</v>
      </c>
      <c r="H8" s="13"/>
    </row>
    <row r="9" spans="1:9" ht="33.950000000000003" customHeight="1" x14ac:dyDescent="0.25">
      <c r="A9" s="12" t="s">
        <v>163</v>
      </c>
      <c r="B9" s="12" t="s">
        <v>161</v>
      </c>
      <c r="C9" s="13" t="s">
        <v>14</v>
      </c>
      <c r="D9" s="13" t="s">
        <v>145</v>
      </c>
      <c r="E9" s="14">
        <v>45388</v>
      </c>
      <c r="F9" s="15" t="s">
        <v>167</v>
      </c>
      <c r="G9" s="76">
        <v>432</v>
      </c>
      <c r="H9" s="13">
        <v>272</v>
      </c>
      <c r="I9" s="3"/>
    </row>
    <row r="10" spans="1:9" ht="33.950000000000003" customHeight="1" x14ac:dyDescent="0.25">
      <c r="A10" s="12"/>
      <c r="B10" s="12"/>
      <c r="C10" s="13"/>
      <c r="D10" s="13"/>
      <c r="E10" s="13"/>
      <c r="F10" s="15"/>
      <c r="G10" s="76"/>
      <c r="H10" s="13"/>
    </row>
    <row r="11" spans="1:9" ht="33.950000000000003" customHeight="1" x14ac:dyDescent="0.25">
      <c r="A11" s="12"/>
      <c r="B11" s="12"/>
      <c r="C11" s="13"/>
      <c r="D11" s="13"/>
      <c r="E11" s="13"/>
      <c r="F11" s="15"/>
      <c r="G11" s="76"/>
      <c r="H11" s="13"/>
    </row>
    <row r="12" spans="1:9" ht="33.950000000000003" customHeight="1" x14ac:dyDescent="0.25">
      <c r="A12" s="12"/>
      <c r="B12" s="12"/>
      <c r="C12" s="13"/>
      <c r="D12" s="13"/>
      <c r="E12" s="13"/>
      <c r="F12" s="15"/>
      <c r="G12" s="76"/>
      <c r="H12" s="13"/>
    </row>
    <row r="13" spans="1:9" ht="33.950000000000003" customHeight="1" x14ac:dyDescent="0.25">
      <c r="A13" s="12"/>
      <c r="B13" s="12"/>
      <c r="C13" s="13"/>
      <c r="D13" s="13"/>
      <c r="E13" s="13"/>
      <c r="F13" s="15"/>
      <c r="G13" s="76"/>
      <c r="H13" s="13"/>
    </row>
    <row r="14" spans="1:9" ht="33.950000000000003" customHeight="1" x14ac:dyDescent="0.25">
      <c r="A14" s="12"/>
      <c r="B14" s="12"/>
      <c r="C14" s="13"/>
      <c r="D14" s="13"/>
      <c r="E14" s="13"/>
      <c r="F14" s="15"/>
      <c r="G14" s="76"/>
      <c r="H14" s="13"/>
    </row>
    <row r="15" spans="1:9" ht="33.950000000000003" customHeight="1" x14ac:dyDescent="0.25">
      <c r="A15" s="12"/>
      <c r="B15" s="12"/>
      <c r="C15" s="13"/>
      <c r="D15" s="13"/>
      <c r="E15" s="13"/>
      <c r="F15" s="15"/>
      <c r="G15" s="76"/>
      <c r="H15" s="13"/>
    </row>
    <row r="16" spans="1:9" ht="33.950000000000003" customHeight="1" x14ac:dyDescent="0.25">
      <c r="A16" s="12"/>
      <c r="B16" s="12"/>
      <c r="C16" s="13"/>
      <c r="D16" s="13"/>
      <c r="E16" s="13"/>
      <c r="F16" s="15"/>
      <c r="G16" s="76"/>
      <c r="H16" s="13"/>
    </row>
    <row r="17" spans="1:8" ht="33.950000000000003" customHeight="1" x14ac:dyDescent="0.25">
      <c r="A17" s="12"/>
      <c r="B17" s="12"/>
      <c r="C17" s="13"/>
      <c r="D17" s="13"/>
      <c r="E17" s="13"/>
      <c r="F17" s="15"/>
      <c r="G17" s="76"/>
      <c r="H17" s="13"/>
    </row>
    <row r="18" spans="1:8" ht="33.950000000000003" customHeight="1" x14ac:dyDescent="0.25">
      <c r="A18" s="12"/>
      <c r="B18" s="12"/>
      <c r="C18" s="13"/>
      <c r="D18" s="13"/>
      <c r="E18" s="13"/>
      <c r="F18" s="15"/>
      <c r="G18" s="76"/>
      <c r="H18" s="13"/>
    </row>
    <row r="19" spans="1:8" ht="33.950000000000003" customHeight="1" x14ac:dyDescent="0.25">
      <c r="A19" s="12"/>
      <c r="B19" s="12"/>
      <c r="C19" s="13"/>
      <c r="D19" s="13"/>
      <c r="E19" s="13"/>
      <c r="F19" s="15"/>
      <c r="G19" s="76"/>
      <c r="H19" s="13"/>
    </row>
    <row r="20" spans="1:8" ht="33.950000000000003" customHeight="1" x14ac:dyDescent="0.25">
      <c r="A20" s="12"/>
      <c r="B20" s="12"/>
      <c r="C20" s="13"/>
      <c r="D20" s="13"/>
      <c r="E20" s="13"/>
      <c r="F20" s="15"/>
      <c r="G20" s="76"/>
      <c r="H20" s="13"/>
    </row>
    <row r="21" spans="1:8" ht="33.950000000000003" customHeight="1" x14ac:dyDescent="0.25">
      <c r="A21" s="12"/>
      <c r="B21" s="12"/>
      <c r="C21" s="13"/>
      <c r="D21" s="13"/>
      <c r="E21" s="13"/>
      <c r="F21" s="15"/>
      <c r="G21" s="76"/>
      <c r="H21" s="13"/>
    </row>
    <row r="22" spans="1:8" ht="33.950000000000003" customHeight="1" x14ac:dyDescent="0.25">
      <c r="A22" s="12"/>
      <c r="B22" s="12"/>
      <c r="C22" s="13"/>
      <c r="D22" s="13"/>
      <c r="E22" s="13"/>
      <c r="F22" s="15"/>
      <c r="G22" s="76"/>
      <c r="H22" s="13"/>
    </row>
    <row r="23" spans="1:8" ht="33.950000000000003" customHeight="1" x14ac:dyDescent="0.25">
      <c r="A23" s="12"/>
      <c r="B23" s="12"/>
      <c r="C23" s="13"/>
      <c r="D23" s="13"/>
      <c r="E23" s="13"/>
      <c r="F23" s="15"/>
      <c r="G23" s="76"/>
      <c r="H23" s="13"/>
    </row>
    <row r="24" spans="1:8" ht="33.950000000000003" customHeight="1" x14ac:dyDescent="0.25">
      <c r="A24" s="12"/>
      <c r="B24" s="12"/>
      <c r="C24" s="13"/>
      <c r="D24" s="13"/>
      <c r="E24" s="13"/>
      <c r="F24" s="15"/>
      <c r="G24" s="76"/>
      <c r="H24" s="13"/>
    </row>
    <row r="25" spans="1:8" ht="33.950000000000003" customHeight="1" x14ac:dyDescent="0.25">
      <c r="A25" s="12"/>
      <c r="B25" s="12"/>
      <c r="C25" s="13"/>
      <c r="D25" s="13"/>
      <c r="E25" s="13"/>
      <c r="F25" s="15"/>
      <c r="G25" s="76"/>
      <c r="H25" s="13"/>
    </row>
    <row r="26" spans="1:8" ht="33.950000000000003" customHeight="1" x14ac:dyDescent="0.25">
      <c r="A26" s="12"/>
      <c r="B26" s="12"/>
      <c r="C26" s="13"/>
      <c r="D26" s="13"/>
      <c r="E26" s="13"/>
      <c r="F26" s="15"/>
      <c r="G26" s="76"/>
      <c r="H26" s="13"/>
    </row>
    <row r="27" spans="1:8" ht="33.950000000000003" customHeight="1" x14ac:dyDescent="0.25">
      <c r="A27" s="12"/>
      <c r="B27" s="12"/>
      <c r="C27" s="13"/>
      <c r="D27" s="13"/>
      <c r="E27" s="13"/>
      <c r="F27" s="15"/>
      <c r="G27" s="76"/>
      <c r="H27" s="13"/>
    </row>
    <row r="28" spans="1:8" ht="33.950000000000003" customHeight="1" x14ac:dyDescent="0.25">
      <c r="A28" s="12"/>
      <c r="B28" s="12"/>
      <c r="C28" s="13"/>
      <c r="D28" s="13"/>
      <c r="E28" s="13"/>
      <c r="F28" s="15"/>
      <c r="G28" s="76"/>
      <c r="H28" s="13"/>
    </row>
    <row r="29" spans="1:8" ht="33.950000000000003" customHeight="1" x14ac:dyDescent="0.25">
      <c r="A29" s="12"/>
      <c r="B29" s="12"/>
      <c r="C29" s="13"/>
      <c r="D29" s="13"/>
      <c r="E29" s="13"/>
      <c r="F29" s="15"/>
      <c r="G29" s="76"/>
      <c r="H29" s="13"/>
    </row>
    <row r="30" spans="1:8" ht="33.950000000000003" customHeight="1" x14ac:dyDescent="0.25">
      <c r="A30" s="12"/>
      <c r="B30" s="12"/>
      <c r="C30" s="13"/>
      <c r="D30" s="13"/>
      <c r="E30" s="13"/>
      <c r="F30" s="15"/>
      <c r="G30" s="76"/>
      <c r="H30" s="13"/>
    </row>
    <row r="31" spans="1:8" ht="33.950000000000003" customHeight="1" x14ac:dyDescent="0.25">
      <c r="A31" s="12"/>
      <c r="B31" s="12"/>
      <c r="C31" s="13"/>
      <c r="D31" s="13"/>
      <c r="E31" s="13"/>
      <c r="F31" s="15"/>
      <c r="G31" s="76"/>
      <c r="H31" s="13"/>
    </row>
    <row r="32" spans="1:8" ht="33.950000000000003" customHeight="1" x14ac:dyDescent="0.25">
      <c r="A32" s="12"/>
      <c r="B32" s="12"/>
      <c r="C32" s="13"/>
      <c r="D32" s="13"/>
      <c r="E32" s="13"/>
      <c r="F32" s="15"/>
      <c r="G32" s="76"/>
      <c r="H32" s="13"/>
    </row>
    <row r="33" spans="1:8" ht="33.950000000000003" customHeight="1" x14ac:dyDescent="0.25">
      <c r="A33" s="12"/>
      <c r="B33" s="12"/>
      <c r="C33" s="13"/>
      <c r="D33" s="13"/>
      <c r="E33" s="13"/>
      <c r="F33" s="15"/>
      <c r="G33" s="76"/>
      <c r="H33" s="13"/>
    </row>
  </sheetData>
  <mergeCells count="4">
    <mergeCell ref="A1:H1"/>
    <mergeCell ref="A2:E2"/>
    <mergeCell ref="F2:G2"/>
    <mergeCell ref="H2:H3"/>
  </mergeCells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4DAFA8-C0E8-42B2-9E05-9F80CB19B49C}">
  <dimension ref="B1:AE129"/>
  <sheetViews>
    <sheetView tabSelected="1" topLeftCell="L1" workbookViewId="0">
      <selection activeCell="X16" sqref="X16"/>
    </sheetView>
  </sheetViews>
  <sheetFormatPr defaultRowHeight="15" x14ac:dyDescent="0.25"/>
  <cols>
    <col min="2" max="2" width="18" bestFit="1" customWidth="1"/>
    <col min="3" max="3" width="13.85546875" style="5" bestFit="1" customWidth="1"/>
    <col min="6" max="6" width="18" bestFit="1" customWidth="1"/>
    <col min="7" max="7" width="13.85546875" bestFit="1" customWidth="1"/>
    <col min="9" max="9" width="18" bestFit="1" customWidth="1"/>
    <col min="10" max="10" width="13.85546875" style="5" bestFit="1" customWidth="1"/>
    <col min="12" max="12" width="18" bestFit="1" customWidth="1"/>
    <col min="13" max="13" width="13.85546875" style="5" bestFit="1" customWidth="1"/>
    <col min="14" max="14" width="12.85546875" bestFit="1" customWidth="1"/>
    <col min="15" max="15" width="10.7109375" bestFit="1" customWidth="1"/>
    <col min="16" max="16" width="13.28515625" bestFit="1" customWidth="1"/>
    <col min="17" max="17" width="18" bestFit="1" customWidth="1"/>
    <col min="18" max="18" width="13.85546875" bestFit="1" customWidth="1"/>
    <col min="20" max="20" width="18" bestFit="1" customWidth="1"/>
    <col min="21" max="21" width="13.85546875" bestFit="1" customWidth="1"/>
    <col min="27" max="27" width="18" bestFit="1" customWidth="1"/>
    <col min="28" max="28" width="13.85546875" style="5" bestFit="1" customWidth="1"/>
    <col min="29" max="29" width="7.85546875" bestFit="1" customWidth="1"/>
    <col min="30" max="30" width="18" bestFit="1" customWidth="1"/>
    <col min="31" max="31" width="13.85546875" style="5" bestFit="1" customWidth="1"/>
    <col min="32" max="32" width="10.85546875" bestFit="1" customWidth="1"/>
    <col min="33" max="33" width="7.140625" bestFit="1" customWidth="1"/>
    <col min="34" max="34" width="12" bestFit="1" customWidth="1"/>
    <col min="35" max="35" width="10.42578125" bestFit="1" customWidth="1"/>
    <col min="36" max="36" width="9.28515625" bestFit="1" customWidth="1"/>
    <col min="37" max="37" width="10.140625" bestFit="1" customWidth="1"/>
    <col min="38" max="38" width="10.85546875" bestFit="1" customWidth="1"/>
    <col min="39" max="39" width="11.85546875" bestFit="1" customWidth="1"/>
    <col min="40" max="41" width="7.42578125" bestFit="1" customWidth="1"/>
    <col min="42" max="42" width="15.28515625" bestFit="1" customWidth="1"/>
    <col min="43" max="43" width="10" bestFit="1" customWidth="1"/>
    <col min="44" max="44" width="8.85546875" bestFit="1" customWidth="1"/>
    <col min="45" max="45" width="17" bestFit="1" customWidth="1"/>
    <col min="46" max="46" width="7" bestFit="1" customWidth="1"/>
    <col min="47" max="47" width="6.42578125" bestFit="1" customWidth="1"/>
    <col min="48" max="48" width="8.28515625" bestFit="1" customWidth="1"/>
    <col min="49" max="49" width="17.28515625" bestFit="1" customWidth="1"/>
    <col min="50" max="50" width="9.42578125" bestFit="1" customWidth="1"/>
    <col min="51" max="51" width="3.85546875" bestFit="1" customWidth="1"/>
    <col min="52" max="52" width="6.5703125" bestFit="1" customWidth="1"/>
    <col min="53" max="53" width="8.85546875" bestFit="1" customWidth="1"/>
    <col min="54" max="54" width="8.140625" bestFit="1" customWidth="1"/>
    <col min="55" max="55" width="12.140625" bestFit="1" customWidth="1"/>
    <col min="56" max="56" width="4.5703125" bestFit="1" customWidth="1"/>
    <col min="57" max="57" width="7.5703125" bestFit="1" customWidth="1"/>
    <col min="58" max="58" width="11.5703125" bestFit="1" customWidth="1"/>
    <col min="59" max="59" width="17" bestFit="1" customWidth="1"/>
    <col min="60" max="60" width="6" bestFit="1" customWidth="1"/>
    <col min="61" max="61" width="7" bestFit="1" customWidth="1"/>
    <col min="62" max="62" width="15.28515625" bestFit="1" customWidth="1"/>
    <col min="63" max="63" width="6.7109375" bestFit="1" customWidth="1"/>
    <col min="64" max="64" width="7" bestFit="1" customWidth="1"/>
    <col min="65" max="65" width="15.7109375" bestFit="1" customWidth="1"/>
    <col min="66" max="66" width="13.140625" bestFit="1" customWidth="1"/>
    <col min="67" max="67" width="20.28515625" bestFit="1" customWidth="1"/>
    <col min="68" max="68" width="11.7109375" bestFit="1" customWidth="1"/>
    <col min="70" max="70" width="22.28515625" bestFit="1" customWidth="1"/>
    <col min="71" max="71" width="10" bestFit="1" customWidth="1"/>
    <col min="72" max="72" width="18" bestFit="1" customWidth="1"/>
    <col min="73" max="73" width="10" bestFit="1" customWidth="1"/>
    <col min="74" max="74" width="9.28515625" bestFit="1" customWidth="1"/>
    <col min="75" max="75" width="4.28515625" bestFit="1" customWidth="1"/>
    <col min="76" max="76" width="8" bestFit="1" customWidth="1"/>
    <col min="77" max="77" width="8.28515625" bestFit="1" customWidth="1"/>
    <col min="78" max="78" width="10.7109375" bestFit="1" customWidth="1"/>
  </cols>
  <sheetData>
    <row r="1" spans="2:31" x14ac:dyDescent="0.25">
      <c r="AB1" s="5">
        <f>GETPIVOTDATA("Valor",$AA$4)</f>
        <v>441.06</v>
      </c>
      <c r="AE1" s="5">
        <f>GETPIVOTDATA("Valor",$AD$4)</f>
        <v>0</v>
      </c>
    </row>
    <row r="2" spans="2:31" x14ac:dyDescent="0.25">
      <c r="M2" s="5">
        <f>GETPIVOTDATA("Valor",$L$5)</f>
        <v>441.06</v>
      </c>
      <c r="R2" s="5"/>
      <c r="AA2" s="1" t="s">
        <v>26</v>
      </c>
      <c r="AB2" t="s">
        <v>188</v>
      </c>
      <c r="AD2" s="1" t="s">
        <v>26</v>
      </c>
      <c r="AE2" t="s">
        <v>188</v>
      </c>
    </row>
    <row r="3" spans="2:31" x14ac:dyDescent="0.25">
      <c r="B3" s="1" t="s">
        <v>26</v>
      </c>
      <c r="C3" t="s">
        <v>188</v>
      </c>
      <c r="F3" s="1" t="s">
        <v>26</v>
      </c>
      <c r="G3" t="s">
        <v>188</v>
      </c>
      <c r="I3" s="1" t="s">
        <v>26</v>
      </c>
      <c r="J3" t="s">
        <v>188</v>
      </c>
      <c r="L3" s="1" t="s">
        <v>26</v>
      </c>
      <c r="M3" t="s">
        <v>188</v>
      </c>
      <c r="Q3" s="1" t="s">
        <v>26</v>
      </c>
      <c r="R3" t="s">
        <v>188</v>
      </c>
      <c r="U3" s="8" t="s">
        <v>27</v>
      </c>
      <c r="W3" t="s">
        <v>97</v>
      </c>
    </row>
    <row r="4" spans="2:31" x14ac:dyDescent="0.25">
      <c r="U4">
        <f>GETPIVOTDATA("Valor",$T$5,"Caixa","Receita")-GETPIVOTDATA("Valor",$T$5,"Caixa","Despesa")</f>
        <v>4422.8439999999864</v>
      </c>
      <c r="W4" t="s">
        <v>43</v>
      </c>
      <c r="Y4" s="9">
        <v>0.5</v>
      </c>
      <c r="AA4" s="1" t="s">
        <v>9</v>
      </c>
      <c r="AB4" t="s">
        <v>38</v>
      </c>
      <c r="AD4" s="1" t="s">
        <v>9</v>
      </c>
      <c r="AE4" t="s">
        <v>38</v>
      </c>
    </row>
    <row r="5" spans="2:31" x14ac:dyDescent="0.25">
      <c r="B5" s="1" t="s">
        <v>9</v>
      </c>
      <c r="C5" t="s">
        <v>38</v>
      </c>
      <c r="F5" s="1" t="s">
        <v>9</v>
      </c>
      <c r="G5" t="s">
        <v>38</v>
      </c>
      <c r="I5" s="1" t="s">
        <v>9</v>
      </c>
      <c r="J5" t="s">
        <v>38</v>
      </c>
      <c r="L5" s="1" t="s">
        <v>9</v>
      </c>
      <c r="M5" t="s">
        <v>38</v>
      </c>
      <c r="O5" s="2" t="s">
        <v>29</v>
      </c>
      <c r="P5" s="3">
        <f>GETPIVOTDATA("Valor",$Q$5,"Caixa","Despesa")</f>
        <v>441.06</v>
      </c>
      <c r="Q5" s="1" t="s">
        <v>9</v>
      </c>
      <c r="R5" t="s">
        <v>38</v>
      </c>
      <c r="T5" s="1" t="s">
        <v>9</v>
      </c>
      <c r="U5" t="s">
        <v>38</v>
      </c>
      <c r="W5" t="s">
        <v>41</v>
      </c>
      <c r="Y5" s="9">
        <v>0.2</v>
      </c>
      <c r="AA5" s="2" t="s">
        <v>43</v>
      </c>
      <c r="AB5">
        <v>441.06</v>
      </c>
      <c r="AD5" s="2" t="s">
        <v>10</v>
      </c>
      <c r="AE5"/>
    </row>
    <row r="6" spans="2:31" x14ac:dyDescent="0.25">
      <c r="B6" s="2" t="s">
        <v>12</v>
      </c>
      <c r="C6" s="6">
        <v>441.06</v>
      </c>
      <c r="F6" s="2" t="s">
        <v>29</v>
      </c>
      <c r="G6" s="3">
        <v>441.06</v>
      </c>
      <c r="I6" s="2" t="s">
        <v>43</v>
      </c>
      <c r="J6" s="6">
        <v>441.06</v>
      </c>
      <c r="L6" s="2" t="s">
        <v>43</v>
      </c>
      <c r="M6" s="6">
        <v>441.06</v>
      </c>
      <c r="O6" s="2" t="s">
        <v>28</v>
      </c>
      <c r="P6" s="3" t="e">
        <f>GETPIVOTDATA("Valor",$Q$5,"Caixa","Receita")</f>
        <v>#REF!</v>
      </c>
      <c r="Q6" s="2" t="s">
        <v>29</v>
      </c>
      <c r="R6" s="3">
        <v>441.06</v>
      </c>
      <c r="T6" s="2" t="s">
        <v>29</v>
      </c>
      <c r="U6" s="3">
        <v>19494.016000000014</v>
      </c>
      <c r="W6" t="s">
        <v>44</v>
      </c>
      <c r="Y6" s="9">
        <v>0.3</v>
      </c>
      <c r="AA6" s="4" t="s">
        <v>19</v>
      </c>
      <c r="AB6">
        <v>441.06</v>
      </c>
      <c r="AE6"/>
    </row>
    <row r="7" spans="2:31" x14ac:dyDescent="0.25">
      <c r="B7" s="2" t="s">
        <v>10</v>
      </c>
      <c r="C7" s="6">
        <v>441.06</v>
      </c>
      <c r="F7" s="2" t="s">
        <v>10</v>
      </c>
      <c r="G7">
        <v>441.06</v>
      </c>
      <c r="I7" s="2" t="s">
        <v>10</v>
      </c>
      <c r="J7" s="6">
        <v>441.06</v>
      </c>
      <c r="L7" s="4" t="s">
        <v>19</v>
      </c>
      <c r="M7" s="6">
        <v>441.06</v>
      </c>
      <c r="O7" t="s">
        <v>36</v>
      </c>
      <c r="P7" s="3" t="e">
        <f>P6-P5</f>
        <v>#REF!</v>
      </c>
      <c r="Q7" s="2" t="s">
        <v>10</v>
      </c>
      <c r="R7">
        <v>441.06</v>
      </c>
      <c r="T7" s="2" t="s">
        <v>28</v>
      </c>
      <c r="U7">
        <v>23916.86</v>
      </c>
      <c r="AA7" s="2" t="s">
        <v>10</v>
      </c>
      <c r="AB7">
        <v>441.06</v>
      </c>
      <c r="AE7"/>
    </row>
    <row r="8" spans="2:31" x14ac:dyDescent="0.25">
      <c r="C8"/>
      <c r="J8"/>
      <c r="L8" s="2" t="s">
        <v>10</v>
      </c>
      <c r="M8" s="6">
        <v>441.06</v>
      </c>
      <c r="T8" s="2" t="s">
        <v>10</v>
      </c>
      <c r="U8">
        <v>43410.876000000018</v>
      </c>
      <c r="AB8"/>
      <c r="AE8"/>
    </row>
    <row r="9" spans="2:31" x14ac:dyDescent="0.25">
      <c r="C9"/>
      <c r="J9"/>
      <c r="M9"/>
      <c r="U9" s="5"/>
      <c r="AB9"/>
      <c r="AE9"/>
    </row>
    <row r="10" spans="2:31" x14ac:dyDescent="0.25">
      <c r="C10"/>
      <c r="M10"/>
      <c r="AB10"/>
      <c r="AE10"/>
    </row>
    <row r="11" spans="2:31" x14ac:dyDescent="0.25">
      <c r="C11"/>
      <c r="M11"/>
      <c r="AB11"/>
      <c r="AE11"/>
    </row>
    <row r="12" spans="2:31" x14ac:dyDescent="0.25">
      <c r="C12"/>
      <c r="M12"/>
      <c r="AB12"/>
      <c r="AE12"/>
    </row>
    <row r="13" spans="2:31" x14ac:dyDescent="0.25">
      <c r="C13"/>
      <c r="M13"/>
      <c r="AB13"/>
      <c r="AE13"/>
    </row>
    <row r="14" spans="2:31" x14ac:dyDescent="0.25">
      <c r="C14"/>
      <c r="M14"/>
      <c r="AB14"/>
      <c r="AE14"/>
    </row>
    <row r="15" spans="2:31" x14ac:dyDescent="0.25">
      <c r="M15"/>
      <c r="AB15"/>
      <c r="AE15"/>
    </row>
    <row r="16" spans="2:31" x14ac:dyDescent="0.25">
      <c r="M16"/>
      <c r="AB16"/>
      <c r="AE16"/>
    </row>
    <row r="17" spans="13:31" x14ac:dyDescent="0.25">
      <c r="M17"/>
      <c r="AB17"/>
      <c r="AE17"/>
    </row>
    <row r="18" spans="13:31" x14ac:dyDescent="0.25">
      <c r="M18"/>
      <c r="AB18"/>
      <c r="AE18"/>
    </row>
    <row r="19" spans="13:31" x14ac:dyDescent="0.25">
      <c r="M19"/>
      <c r="AB19"/>
      <c r="AE19"/>
    </row>
    <row r="20" spans="13:31" x14ac:dyDescent="0.25">
      <c r="M20"/>
      <c r="AB20"/>
      <c r="AE20"/>
    </row>
    <row r="21" spans="13:31" x14ac:dyDescent="0.25">
      <c r="M21"/>
      <c r="AB21"/>
      <c r="AE21"/>
    </row>
    <row r="22" spans="13:31" x14ac:dyDescent="0.25">
      <c r="M22"/>
      <c r="AB22"/>
      <c r="AE22"/>
    </row>
    <row r="23" spans="13:31" x14ac:dyDescent="0.25">
      <c r="M23"/>
      <c r="AB23"/>
      <c r="AE23"/>
    </row>
    <row r="24" spans="13:31" x14ac:dyDescent="0.25">
      <c r="M24"/>
      <c r="AB24"/>
      <c r="AE24"/>
    </row>
    <row r="25" spans="13:31" x14ac:dyDescent="0.25">
      <c r="M25"/>
      <c r="AB25"/>
      <c r="AE25"/>
    </row>
    <row r="26" spans="13:31" x14ac:dyDescent="0.25">
      <c r="M26"/>
      <c r="AB26"/>
      <c r="AE26"/>
    </row>
    <row r="27" spans="13:31" x14ac:dyDescent="0.25">
      <c r="M27"/>
      <c r="AB27"/>
      <c r="AE27"/>
    </row>
    <row r="28" spans="13:31" x14ac:dyDescent="0.25">
      <c r="M28"/>
      <c r="AB28"/>
      <c r="AE28"/>
    </row>
    <row r="29" spans="13:31" x14ac:dyDescent="0.25">
      <c r="M29"/>
      <c r="AB29"/>
      <c r="AE29"/>
    </row>
    <row r="30" spans="13:31" x14ac:dyDescent="0.25">
      <c r="M30"/>
      <c r="AB30"/>
      <c r="AE30"/>
    </row>
    <row r="31" spans="13:31" x14ac:dyDescent="0.25">
      <c r="M31"/>
      <c r="AB31"/>
      <c r="AE31"/>
    </row>
    <row r="32" spans="13:31" x14ac:dyDescent="0.25">
      <c r="M32"/>
      <c r="AB32"/>
      <c r="AE32"/>
    </row>
    <row r="33" spans="13:31" x14ac:dyDescent="0.25">
      <c r="M33"/>
      <c r="AB33"/>
      <c r="AE33"/>
    </row>
    <row r="34" spans="13:31" x14ac:dyDescent="0.25">
      <c r="M34"/>
      <c r="AB34"/>
      <c r="AE34"/>
    </row>
    <row r="35" spans="13:31" x14ac:dyDescent="0.25">
      <c r="M35"/>
      <c r="AB35"/>
      <c r="AE35"/>
    </row>
    <row r="36" spans="13:31" x14ac:dyDescent="0.25">
      <c r="M36"/>
      <c r="AB36"/>
      <c r="AE36"/>
    </row>
    <row r="37" spans="13:31" x14ac:dyDescent="0.25">
      <c r="M37"/>
      <c r="AB37"/>
      <c r="AE37"/>
    </row>
    <row r="38" spans="13:31" x14ac:dyDescent="0.25">
      <c r="M38"/>
      <c r="AB38"/>
      <c r="AE38"/>
    </row>
    <row r="39" spans="13:31" x14ac:dyDescent="0.25">
      <c r="M39"/>
      <c r="AB39"/>
      <c r="AE39"/>
    </row>
    <row r="40" spans="13:31" x14ac:dyDescent="0.25">
      <c r="M40"/>
      <c r="AB40"/>
      <c r="AE40"/>
    </row>
    <row r="41" spans="13:31" x14ac:dyDescent="0.25">
      <c r="M41"/>
      <c r="AB41"/>
      <c r="AE41"/>
    </row>
    <row r="42" spans="13:31" x14ac:dyDescent="0.25">
      <c r="M42"/>
      <c r="AB42"/>
      <c r="AE42"/>
    </row>
    <row r="43" spans="13:31" x14ac:dyDescent="0.25">
      <c r="M43"/>
      <c r="AB43"/>
      <c r="AE43"/>
    </row>
    <row r="44" spans="13:31" x14ac:dyDescent="0.25">
      <c r="M44"/>
      <c r="AB44"/>
      <c r="AE44"/>
    </row>
    <row r="45" spans="13:31" x14ac:dyDescent="0.25">
      <c r="M45"/>
      <c r="AB45"/>
      <c r="AE45"/>
    </row>
    <row r="46" spans="13:31" x14ac:dyDescent="0.25">
      <c r="M46"/>
      <c r="AB46"/>
      <c r="AE46"/>
    </row>
    <row r="47" spans="13:31" x14ac:dyDescent="0.25">
      <c r="M47"/>
      <c r="AB47"/>
      <c r="AE47"/>
    </row>
    <row r="48" spans="13:31" x14ac:dyDescent="0.25">
      <c r="M48"/>
      <c r="AB48"/>
      <c r="AE48"/>
    </row>
    <row r="49" spans="13:31" x14ac:dyDescent="0.25">
      <c r="M49"/>
      <c r="AB49"/>
      <c r="AE49"/>
    </row>
    <row r="50" spans="13:31" x14ac:dyDescent="0.25">
      <c r="M50"/>
      <c r="AB50"/>
      <c r="AE50"/>
    </row>
    <row r="51" spans="13:31" x14ac:dyDescent="0.25">
      <c r="M51"/>
      <c r="AB51"/>
      <c r="AE51"/>
    </row>
    <row r="52" spans="13:31" x14ac:dyDescent="0.25">
      <c r="M52"/>
      <c r="AB52"/>
      <c r="AE52"/>
    </row>
    <row r="53" spans="13:31" x14ac:dyDescent="0.25">
      <c r="M53"/>
      <c r="AB53"/>
      <c r="AE53"/>
    </row>
    <row r="54" spans="13:31" x14ac:dyDescent="0.25">
      <c r="M54"/>
      <c r="AB54"/>
      <c r="AE54"/>
    </row>
    <row r="55" spans="13:31" x14ac:dyDescent="0.25">
      <c r="M55"/>
      <c r="AB55"/>
      <c r="AE55"/>
    </row>
    <row r="56" spans="13:31" x14ac:dyDescent="0.25">
      <c r="M56"/>
      <c r="AB56"/>
      <c r="AE56"/>
    </row>
    <row r="57" spans="13:31" x14ac:dyDescent="0.25">
      <c r="M57"/>
      <c r="AB57"/>
      <c r="AE57"/>
    </row>
    <row r="58" spans="13:31" x14ac:dyDescent="0.25">
      <c r="M58"/>
      <c r="AB58"/>
      <c r="AE58"/>
    </row>
    <row r="59" spans="13:31" x14ac:dyDescent="0.25">
      <c r="M59"/>
      <c r="AB59"/>
      <c r="AE59"/>
    </row>
    <row r="60" spans="13:31" x14ac:dyDescent="0.25">
      <c r="M60"/>
      <c r="AE60"/>
    </row>
    <row r="61" spans="13:31" x14ac:dyDescent="0.25">
      <c r="M61"/>
      <c r="AE61"/>
    </row>
    <row r="62" spans="13:31" x14ac:dyDescent="0.25">
      <c r="M62"/>
      <c r="AE62"/>
    </row>
    <row r="63" spans="13:31" x14ac:dyDescent="0.25">
      <c r="M63"/>
      <c r="AE63"/>
    </row>
    <row r="64" spans="13:31" x14ac:dyDescent="0.25">
      <c r="M64"/>
      <c r="AE64"/>
    </row>
    <row r="65" spans="13:31" x14ac:dyDescent="0.25">
      <c r="M65"/>
      <c r="AE65"/>
    </row>
    <row r="66" spans="13:31" x14ac:dyDescent="0.25">
      <c r="M66"/>
      <c r="AE66"/>
    </row>
    <row r="67" spans="13:31" x14ac:dyDescent="0.25">
      <c r="M67"/>
      <c r="AE67"/>
    </row>
    <row r="68" spans="13:31" x14ac:dyDescent="0.25">
      <c r="M68"/>
      <c r="AE68"/>
    </row>
    <row r="69" spans="13:31" x14ac:dyDescent="0.25">
      <c r="M69"/>
      <c r="AE69"/>
    </row>
    <row r="70" spans="13:31" x14ac:dyDescent="0.25">
      <c r="M70"/>
      <c r="AE70"/>
    </row>
    <row r="71" spans="13:31" x14ac:dyDescent="0.25">
      <c r="M71"/>
      <c r="AE71"/>
    </row>
    <row r="72" spans="13:31" x14ac:dyDescent="0.25">
      <c r="M72"/>
      <c r="AE72"/>
    </row>
    <row r="73" spans="13:31" x14ac:dyDescent="0.25">
      <c r="M73"/>
      <c r="AE73"/>
    </row>
    <row r="74" spans="13:31" x14ac:dyDescent="0.25">
      <c r="M74"/>
      <c r="AE74"/>
    </row>
    <row r="75" spans="13:31" x14ac:dyDescent="0.25">
      <c r="M75"/>
      <c r="AE75"/>
    </row>
    <row r="76" spans="13:31" x14ac:dyDescent="0.25">
      <c r="M76"/>
      <c r="AE76"/>
    </row>
    <row r="77" spans="13:31" x14ac:dyDescent="0.25">
      <c r="M77"/>
      <c r="AE77"/>
    </row>
    <row r="78" spans="13:31" x14ac:dyDescent="0.25">
      <c r="M78"/>
      <c r="AE78"/>
    </row>
    <row r="79" spans="13:31" x14ac:dyDescent="0.25">
      <c r="M79"/>
      <c r="AE79"/>
    </row>
    <row r="80" spans="13:31" x14ac:dyDescent="0.25">
      <c r="M80"/>
      <c r="AE80"/>
    </row>
    <row r="81" spans="13:31" x14ac:dyDescent="0.25">
      <c r="M81"/>
      <c r="AE81"/>
    </row>
    <row r="82" spans="13:31" x14ac:dyDescent="0.25">
      <c r="M82"/>
      <c r="AE82"/>
    </row>
    <row r="83" spans="13:31" x14ac:dyDescent="0.25">
      <c r="M83"/>
      <c r="AE83"/>
    </row>
    <row r="84" spans="13:31" x14ac:dyDescent="0.25">
      <c r="M84"/>
      <c r="AE84"/>
    </row>
    <row r="85" spans="13:31" x14ac:dyDescent="0.25">
      <c r="M85"/>
      <c r="AE85"/>
    </row>
    <row r="86" spans="13:31" x14ac:dyDescent="0.25">
      <c r="M86"/>
      <c r="AE86"/>
    </row>
    <row r="87" spans="13:31" x14ac:dyDescent="0.25">
      <c r="M87"/>
      <c r="AE87"/>
    </row>
    <row r="88" spans="13:31" x14ac:dyDescent="0.25">
      <c r="M88"/>
      <c r="AE88"/>
    </row>
    <row r="89" spans="13:31" x14ac:dyDescent="0.25">
      <c r="M89"/>
      <c r="AE89"/>
    </row>
    <row r="90" spans="13:31" x14ac:dyDescent="0.25">
      <c r="M90"/>
      <c r="AE90"/>
    </row>
    <row r="91" spans="13:31" x14ac:dyDescent="0.25">
      <c r="M91"/>
      <c r="AE91"/>
    </row>
    <row r="92" spans="13:31" x14ac:dyDescent="0.25">
      <c r="M92"/>
      <c r="AE92"/>
    </row>
    <row r="93" spans="13:31" x14ac:dyDescent="0.25">
      <c r="M93"/>
      <c r="AE93"/>
    </row>
    <row r="94" spans="13:31" x14ac:dyDescent="0.25">
      <c r="M94"/>
      <c r="AE94"/>
    </row>
    <row r="95" spans="13:31" x14ac:dyDescent="0.25">
      <c r="M95"/>
      <c r="AE95"/>
    </row>
    <row r="96" spans="13:31" x14ac:dyDescent="0.25">
      <c r="M96"/>
      <c r="AE96"/>
    </row>
    <row r="97" spans="13:31" x14ac:dyDescent="0.25">
      <c r="M97"/>
      <c r="AE97"/>
    </row>
    <row r="98" spans="13:31" x14ac:dyDescent="0.25">
      <c r="M98"/>
      <c r="AE98"/>
    </row>
    <row r="99" spans="13:31" x14ac:dyDescent="0.25">
      <c r="M99"/>
      <c r="AE99"/>
    </row>
    <row r="100" spans="13:31" x14ac:dyDescent="0.25">
      <c r="M100"/>
      <c r="AE100"/>
    </row>
    <row r="101" spans="13:31" x14ac:dyDescent="0.25">
      <c r="M101"/>
      <c r="AE101"/>
    </row>
    <row r="102" spans="13:31" x14ac:dyDescent="0.25">
      <c r="M102"/>
      <c r="AE102"/>
    </row>
    <row r="103" spans="13:31" x14ac:dyDescent="0.25">
      <c r="M103"/>
      <c r="AE103"/>
    </row>
    <row r="104" spans="13:31" x14ac:dyDescent="0.25">
      <c r="M104"/>
      <c r="AE104"/>
    </row>
    <row r="105" spans="13:31" x14ac:dyDescent="0.25">
      <c r="M105"/>
      <c r="AE105"/>
    </row>
    <row r="106" spans="13:31" x14ac:dyDescent="0.25">
      <c r="M106"/>
      <c r="AE106"/>
    </row>
    <row r="107" spans="13:31" x14ac:dyDescent="0.25">
      <c r="M107"/>
      <c r="AE107"/>
    </row>
    <row r="108" spans="13:31" x14ac:dyDescent="0.25">
      <c r="M108"/>
      <c r="AE108"/>
    </row>
    <row r="109" spans="13:31" x14ac:dyDescent="0.25">
      <c r="M109"/>
      <c r="AE109"/>
    </row>
    <row r="110" spans="13:31" x14ac:dyDescent="0.25">
      <c r="M110"/>
      <c r="AE110"/>
    </row>
    <row r="111" spans="13:31" x14ac:dyDescent="0.25">
      <c r="M111"/>
      <c r="AE111"/>
    </row>
    <row r="112" spans="13:31" x14ac:dyDescent="0.25">
      <c r="M112"/>
      <c r="AE112"/>
    </row>
    <row r="113" spans="13:31" x14ac:dyDescent="0.25">
      <c r="M113"/>
      <c r="AE113"/>
    </row>
    <row r="114" spans="13:31" x14ac:dyDescent="0.25">
      <c r="M114"/>
      <c r="AE114"/>
    </row>
    <row r="115" spans="13:31" x14ac:dyDescent="0.25">
      <c r="M115"/>
      <c r="AE115"/>
    </row>
    <row r="116" spans="13:31" x14ac:dyDescent="0.25">
      <c r="M116"/>
      <c r="AE116"/>
    </row>
    <row r="117" spans="13:31" x14ac:dyDescent="0.25">
      <c r="M117"/>
      <c r="AE117"/>
    </row>
    <row r="118" spans="13:31" x14ac:dyDescent="0.25">
      <c r="M118"/>
      <c r="AE118"/>
    </row>
    <row r="119" spans="13:31" x14ac:dyDescent="0.25">
      <c r="M119"/>
      <c r="AE119"/>
    </row>
    <row r="120" spans="13:31" x14ac:dyDescent="0.25">
      <c r="M120"/>
      <c r="AE120"/>
    </row>
    <row r="121" spans="13:31" x14ac:dyDescent="0.25">
      <c r="M121"/>
      <c r="AE121"/>
    </row>
    <row r="122" spans="13:31" x14ac:dyDescent="0.25">
      <c r="M122"/>
      <c r="AE122"/>
    </row>
    <row r="123" spans="13:31" x14ac:dyDescent="0.25">
      <c r="M123"/>
      <c r="AE123"/>
    </row>
    <row r="124" spans="13:31" x14ac:dyDescent="0.25">
      <c r="M124"/>
      <c r="AE124"/>
    </row>
    <row r="125" spans="13:31" x14ac:dyDescent="0.25">
      <c r="M125"/>
      <c r="AE125"/>
    </row>
    <row r="126" spans="13:31" x14ac:dyDescent="0.25">
      <c r="M126"/>
      <c r="AE126"/>
    </row>
    <row r="127" spans="13:31" x14ac:dyDescent="0.25">
      <c r="M127"/>
      <c r="AE127"/>
    </row>
    <row r="128" spans="13:31" x14ac:dyDescent="0.25">
      <c r="M128"/>
      <c r="AE128"/>
    </row>
    <row r="129" spans="13:13" x14ac:dyDescent="0.25">
      <c r="M129"/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FF275D-34C3-483A-846A-BB315AC02E7F}">
  <dimension ref="A1:C11"/>
  <sheetViews>
    <sheetView workbookViewId="0">
      <selection activeCell="F16" sqref="F16"/>
    </sheetView>
  </sheetViews>
  <sheetFormatPr defaultRowHeight="15" x14ac:dyDescent="0.25"/>
  <cols>
    <col min="2" max="2" width="11.7109375" bestFit="1" customWidth="1"/>
    <col min="3" max="3" width="12.140625" style="5" bestFit="1" customWidth="1"/>
  </cols>
  <sheetData>
    <row r="1" spans="1:3" x14ac:dyDescent="0.25">
      <c r="A1" t="s">
        <v>26</v>
      </c>
      <c r="B1" t="s">
        <v>29</v>
      </c>
      <c r="C1" s="5" t="s">
        <v>189</v>
      </c>
    </row>
    <row r="2" spans="1:3" x14ac:dyDescent="0.25">
      <c r="A2" t="s">
        <v>190</v>
      </c>
      <c r="B2" t="s">
        <v>4</v>
      </c>
      <c r="C2" s="5">
        <v>450</v>
      </c>
    </row>
    <row r="3" spans="1:3" x14ac:dyDescent="0.25">
      <c r="A3" t="s">
        <v>190</v>
      </c>
      <c r="B3" t="s">
        <v>7</v>
      </c>
      <c r="C3" s="5">
        <v>300</v>
      </c>
    </row>
    <row r="4" spans="1:3" x14ac:dyDescent="0.25">
      <c r="A4" t="s">
        <v>190</v>
      </c>
      <c r="B4" t="s">
        <v>8</v>
      </c>
      <c r="C4" s="5">
        <v>120</v>
      </c>
    </row>
    <row r="5" spans="1:3" x14ac:dyDescent="0.25">
      <c r="A5" t="s">
        <v>191</v>
      </c>
      <c r="B5" t="s">
        <v>2</v>
      </c>
      <c r="C5" s="5">
        <v>1900</v>
      </c>
    </row>
    <row r="6" spans="1:3" x14ac:dyDescent="0.25">
      <c r="A6" t="s">
        <v>191</v>
      </c>
      <c r="B6" t="s">
        <v>4</v>
      </c>
      <c r="C6" s="5">
        <v>485</v>
      </c>
    </row>
    <row r="7" spans="1:3" x14ac:dyDescent="0.25">
      <c r="A7" t="s">
        <v>191</v>
      </c>
      <c r="B7" t="s">
        <v>7</v>
      </c>
      <c r="C7" s="5">
        <v>285</v>
      </c>
    </row>
    <row r="8" spans="1:3" x14ac:dyDescent="0.25">
      <c r="A8" t="s">
        <v>191</v>
      </c>
      <c r="B8" t="s">
        <v>8</v>
      </c>
      <c r="C8" s="5">
        <v>120</v>
      </c>
    </row>
    <row r="9" spans="1:3" x14ac:dyDescent="0.25">
      <c r="C9" s="87">
        <f>SUM(C2:C8)</f>
        <v>3660</v>
      </c>
    </row>
    <row r="10" spans="1:3" x14ac:dyDescent="0.25">
      <c r="B10" t="s">
        <v>145</v>
      </c>
      <c r="C10" s="5">
        <f>C9/2</f>
        <v>1830</v>
      </c>
    </row>
    <row r="11" spans="1:3" x14ac:dyDescent="0.25">
      <c r="B11" t="s">
        <v>192</v>
      </c>
      <c r="C11" s="5">
        <f>C9/2</f>
        <v>1830</v>
      </c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BE115B-51D3-4697-BE5D-D5695BD14468}">
  <dimension ref="A1:K11"/>
  <sheetViews>
    <sheetView workbookViewId="0">
      <selection activeCell="E10" sqref="E10"/>
    </sheetView>
  </sheetViews>
  <sheetFormatPr defaultRowHeight="15" x14ac:dyDescent="0.25"/>
  <cols>
    <col min="1" max="1" width="15.5703125" bestFit="1" customWidth="1"/>
    <col min="10" max="10" width="20.28515625" bestFit="1" customWidth="1"/>
    <col min="11" max="11" width="13.28515625" bestFit="1" customWidth="1"/>
  </cols>
  <sheetData>
    <row r="1" spans="1:11" x14ac:dyDescent="0.25">
      <c r="A1" t="s">
        <v>116</v>
      </c>
      <c r="C1" t="s">
        <v>27</v>
      </c>
      <c r="E1" t="s">
        <v>34</v>
      </c>
      <c r="J1" t="s">
        <v>40</v>
      </c>
      <c r="K1" t="s">
        <v>42</v>
      </c>
    </row>
    <row r="2" spans="1:11" x14ac:dyDescent="0.25">
      <c r="A2" t="s">
        <v>11</v>
      </c>
      <c r="C2" t="s">
        <v>28</v>
      </c>
      <c r="E2" t="s">
        <v>15</v>
      </c>
      <c r="J2" t="s">
        <v>11</v>
      </c>
      <c r="K2" t="s">
        <v>43</v>
      </c>
    </row>
    <row r="3" spans="1:11" x14ac:dyDescent="0.25">
      <c r="A3" t="s">
        <v>12</v>
      </c>
      <c r="C3" t="s">
        <v>29</v>
      </c>
      <c r="E3" t="s">
        <v>35</v>
      </c>
      <c r="J3" t="s">
        <v>12</v>
      </c>
      <c r="K3" t="s">
        <v>43</v>
      </c>
    </row>
    <row r="4" spans="1:11" x14ac:dyDescent="0.25">
      <c r="A4" t="s">
        <v>13</v>
      </c>
      <c r="C4" t="s">
        <v>41</v>
      </c>
      <c r="E4" t="s">
        <v>5</v>
      </c>
      <c r="J4" t="s">
        <v>13</v>
      </c>
      <c r="K4" t="s">
        <v>43</v>
      </c>
    </row>
    <row r="5" spans="1:11" x14ac:dyDescent="0.25">
      <c r="A5" t="s">
        <v>14</v>
      </c>
      <c r="E5" t="s">
        <v>33</v>
      </c>
      <c r="J5" t="s">
        <v>14</v>
      </c>
      <c r="K5" t="s">
        <v>44</v>
      </c>
    </row>
    <row r="6" spans="1:11" x14ac:dyDescent="0.25">
      <c r="A6" t="s">
        <v>18</v>
      </c>
      <c r="E6" t="s">
        <v>3</v>
      </c>
      <c r="J6" t="s">
        <v>18</v>
      </c>
      <c r="K6" t="s">
        <v>44</v>
      </c>
    </row>
    <row r="7" spans="1:11" x14ac:dyDescent="0.25">
      <c r="A7" t="s">
        <v>47</v>
      </c>
      <c r="E7" t="s">
        <v>88</v>
      </c>
      <c r="J7" t="s">
        <v>47</v>
      </c>
      <c r="K7" t="s">
        <v>43</v>
      </c>
    </row>
    <row r="8" spans="1:11" x14ac:dyDescent="0.25">
      <c r="A8" t="s">
        <v>20</v>
      </c>
      <c r="E8" t="s">
        <v>89</v>
      </c>
      <c r="J8" t="s">
        <v>20</v>
      </c>
      <c r="K8" t="s">
        <v>43</v>
      </c>
    </row>
    <row r="9" spans="1:11" x14ac:dyDescent="0.25">
      <c r="A9" t="s">
        <v>21</v>
      </c>
      <c r="E9" t="s">
        <v>169</v>
      </c>
      <c r="J9" t="s">
        <v>21</v>
      </c>
      <c r="K9" t="s">
        <v>44</v>
      </c>
    </row>
    <row r="10" spans="1:11" x14ac:dyDescent="0.25">
      <c r="A10" t="s">
        <v>31</v>
      </c>
      <c r="J10" t="s">
        <v>41</v>
      </c>
      <c r="K10" t="s">
        <v>41</v>
      </c>
    </row>
    <row r="11" spans="1:11" x14ac:dyDescent="0.25">
      <c r="A11" t="s">
        <v>41</v>
      </c>
      <c r="J11" t="s">
        <v>31</v>
      </c>
      <c r="K11" t="s">
        <v>28</v>
      </c>
    </row>
  </sheetData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A33090E-451E-47CD-8BF5-B1A0449D863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6</vt:i4>
      </vt:variant>
    </vt:vector>
  </HeadingPairs>
  <TitlesOfParts>
    <vt:vector size="6" baseType="lpstr">
      <vt:lpstr>TRANSAÇÕES</vt:lpstr>
      <vt:lpstr>PAINEL</vt:lpstr>
      <vt:lpstr>PLANO DE AÇÃO</vt:lpstr>
      <vt:lpstr>TABELAS</vt:lpstr>
      <vt:lpstr>Planilha1</vt:lpstr>
      <vt:lpstr>TAGS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Marcos Wille</dc:creator>
  <cp:lastModifiedBy>Marcos Wille</cp:lastModifiedBy>
  <cp:lastPrinted>2024-02-07T23:05:29Z</cp:lastPrinted>
  <dcterms:created xsi:type="dcterms:W3CDTF">2015-06-05T18:19:34Z</dcterms:created>
  <dcterms:modified xsi:type="dcterms:W3CDTF">2024-04-20T00:19:25Z</dcterms:modified>
</cp:coreProperties>
</file>